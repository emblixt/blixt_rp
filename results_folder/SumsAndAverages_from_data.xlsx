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rte\PycharmProjects\blixt_rp\results_folder\"/>
    </mc:Choice>
  </mc:AlternateContent>
  <xr:revisionPtr revIDLastSave="0" documentId="13_ncr:1_{62F35D6B-1AF6-484D-8E6A-16DE26556E98}" xr6:coauthVersionLast="47" xr6:coauthVersionMax="47" xr10:uidLastSave="{00000000-0000-0000-0000-000000000000}"/>
  <bookViews>
    <workbookView xWindow="4665" yWindow="3630" windowWidth="31845" windowHeight="1957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6KQDNxk52TpTh6EwVfL4Js62hBxQdgf51K0ISO1Two="/>
    </ext>
  </extLst>
</workbook>
</file>

<file path=xl/calcChain.xml><?xml version="1.0" encoding="utf-8"?>
<calcChain xmlns="http://schemas.openxmlformats.org/spreadsheetml/2006/main">
  <c r="Q34" i="1" l="1"/>
  <c r="O34" i="1"/>
  <c r="N34" i="1"/>
  <c r="M34" i="1"/>
  <c r="L34" i="1"/>
  <c r="K34" i="1"/>
  <c r="J34" i="1"/>
  <c r="H34" i="1"/>
  <c r="G34" i="1"/>
  <c r="Q32" i="1"/>
  <c r="O32" i="1"/>
  <c r="N32" i="1"/>
  <c r="M32" i="1"/>
  <c r="L32" i="1"/>
  <c r="K32" i="1"/>
  <c r="J32" i="1"/>
  <c r="I32" i="1"/>
  <c r="H32" i="1"/>
  <c r="G32" i="1"/>
</calcChain>
</file>

<file path=xl/sharedStrings.xml><?xml version="1.0" encoding="utf-8"?>
<sst xmlns="http://schemas.openxmlformats.org/spreadsheetml/2006/main" count="167" uniqueCount="108">
  <si>
    <t>Averages Set output from simple python script well_tops.py on 2021-05-05T23:45:41.226417</t>
  </si>
  <si>
    <t>Template Version: 1</t>
  </si>
  <si>
    <t>Depth units:             m</t>
  </si>
  <si>
    <t>Time units:              ms</t>
  </si>
  <si>
    <t>Velocity units:          m/s</t>
  </si>
  <si>
    <t>Density units:           g/cm3</t>
  </si>
  <si>
    <t>Porosity units:          fract</t>
  </si>
  <si>
    <t>AI units:                g/cm3_m/s</t>
  </si>
  <si>
    <t>SI units:                g/cm3_m/s</t>
  </si>
  <si>
    <t>M units:                 GPa</t>
  </si>
  <si>
    <t>MU units:                GPa</t>
  </si>
  <si>
    <t>K (Bulk Modulus) units:  GPa</t>
  </si>
  <si>
    <t>Lambda units:            GPa</t>
  </si>
  <si>
    <t>E units:                 GPa</t>
  </si>
  <si>
    <t>Lambda Mu units:         fract</t>
  </si>
  <si>
    <t>Mu Rho units:            GPa_g/cm3</t>
  </si>
  <si>
    <t>Lambda Rho units:        GPa_g/cm3</t>
  </si>
  <si>
    <t>Saturation units:        fract</t>
  </si>
  <si>
    <t>Volume units:            fract</t>
  </si>
  <si>
    <t>TableStart:</t>
  </si>
  <si>
    <t>Name</t>
  </si>
  <si>
    <t>Well</t>
  </si>
  <si>
    <t>ZType</t>
  </si>
  <si>
    <t>TopDepth</t>
  </si>
  <si>
    <t>BaseDepth</t>
  </si>
  <si>
    <t>MidPointDepth</t>
  </si>
  <si>
    <t>VpMean</t>
  </si>
  <si>
    <t>VsMean</t>
  </si>
  <si>
    <t>RhoMean</t>
  </si>
  <si>
    <t>VpMedian</t>
  </si>
  <si>
    <t>VsMedian</t>
  </si>
  <si>
    <t>RhoMedian</t>
  </si>
  <si>
    <t>VpMode</t>
  </si>
  <si>
    <t>VsMode</t>
  </si>
  <si>
    <t>RhoMode</t>
  </si>
  <si>
    <t>PorosityType</t>
  </si>
  <si>
    <t>PorosityMean</t>
  </si>
  <si>
    <t>PorosityStdDev</t>
  </si>
  <si>
    <t>Net</t>
  </si>
  <si>
    <t>NetToGross</t>
  </si>
  <si>
    <t>EpsilonMean</t>
  </si>
  <si>
    <t>DeltaMean</t>
  </si>
  <si>
    <t>GammaMean</t>
  </si>
  <si>
    <t>EpsilonMedian</t>
  </si>
  <si>
    <t>DeltaMedian</t>
  </si>
  <si>
    <t>GammaMedian</t>
  </si>
  <si>
    <t>EpsilonMode</t>
  </si>
  <si>
    <t>DeltaMode</t>
  </si>
  <si>
    <t>GammaMode</t>
  </si>
  <si>
    <t>VpStdDev</t>
  </si>
  <si>
    <t>VsStdDev</t>
  </si>
  <si>
    <t>RhoStdDev</t>
  </si>
  <si>
    <t>EpsilonStdDev</t>
  </si>
  <si>
    <t>DeltaStdDev</t>
  </si>
  <si>
    <t>GammaStdDev</t>
  </si>
  <si>
    <t>VpVsCorrCoef</t>
  </si>
  <si>
    <t>VpRhoCorrCoef</t>
  </si>
  <si>
    <t>VsRhoCorrCoef</t>
  </si>
  <si>
    <t>AI</t>
  </si>
  <si>
    <t>SI</t>
  </si>
  <si>
    <t>M</t>
  </si>
  <si>
    <t>MU</t>
  </si>
  <si>
    <t>KBulkModulus</t>
  </si>
  <si>
    <t>PR</t>
  </si>
  <si>
    <t>Lambda</t>
  </si>
  <si>
    <t>E</t>
  </si>
  <si>
    <t>LambdaMu</t>
  </si>
  <si>
    <t>MuRho</t>
  </si>
  <si>
    <t>LambdaRho</t>
  </si>
  <si>
    <t>ShaleVolumeMean</t>
  </si>
  <si>
    <t>ShaleVolumeStdDev</t>
  </si>
  <si>
    <t>ShaleVolumeInclusionShape</t>
  </si>
  <si>
    <t>ShaleVolumeAspectRatio</t>
  </si>
  <si>
    <t>Classification</t>
  </si>
  <si>
    <t>LogsUsed</t>
  </si>
  <si>
    <t>DateAdded</t>
  </si>
  <si>
    <t>COOK FM_gas</t>
  </si>
  <si>
    <t>NONE</t>
  </si>
  <si>
    <t>MD</t>
  </si>
  <si>
    <t>None</t>
  </si>
  <si>
    <t>Volume&lt;0.40, Porosity&gt;0.10</t>
  </si>
  <si>
    <t>P velocity: vp_gas, S velocity: vs_gas, Density: rhob_gas, Porosity: phit_model, Volume: vsh</t>
  </si>
  <si>
    <t>COOK FM_oil</t>
  </si>
  <si>
    <t>P velocity: vp_oil, S velocity: vs_oil, Density: rhob_oil, Porosity: phit_model, Volume: vsh</t>
  </si>
  <si>
    <t>COOK FM_brine</t>
  </si>
  <si>
    <t>P velocity: vp_brine, S velocity: vs_brine, Density: rhob_brine, Porosity: phit_model, Volume: vsh</t>
  </si>
  <si>
    <t>DRAKE FM_shale</t>
  </si>
  <si>
    <t>Volume&gt;0.50, Porosity&lt;0.10</t>
  </si>
  <si>
    <t>P velocity: vp_virg, S velocity: vs_virg, Density: den, Porosity: phit, Volume: vsh</t>
  </si>
  <si>
    <t>vcl: &lt; 0.5, phie: &gt; 0.1, sw: &gt; 0.8, depth: &gt;&lt; [4053.0, 4114.0] Working interval: ROGN FM</t>
  </si>
  <si>
    <t>P velocity: vp, S velocity: vs, Density: den, Porosity: phit, Volume: vcl</t>
  </si>
  <si>
    <t>vcl: &gt; 0.6, depth: &gt;&lt; [2332.0, 4356.0] Working interval: SHETLAND TO VIKING</t>
  </si>
  <si>
    <t>vcl: &gt; 0.6, depth: &gt;&lt; [4114.0, 4124.0] Working interval: SPEKK FM</t>
  </si>
  <si>
    <t>Volume: &lt; 0.5, Porosity: &gt; 0.1, Saturation: &gt; 0.8 Working interval: ROGN FM</t>
  </si>
  <si>
    <t>P velocity: vp_oil_gor40, S velocity: vs_oil_gor40, Density: den_oil_gor40, Volume: vcl, Porosity: phie, Saturation: sw</t>
  </si>
  <si>
    <t>P velocity: vp_oil_gor200, S velocity: vs_oil_gor200, Density: den_oil_gor200, Volume: vcl, Porosity: phie, Saturation: sw</t>
  </si>
  <si>
    <t>P velocity: vp_oil_gor400, S velocity: vs_oil_gor400, Density: den_oil_gor400, Volume: vcl, Porosity: phie, Saturation: sw</t>
  </si>
  <si>
    <t>P velocity: vp, S velocity: vs, Density: den, Porosity: phit, Volume: vcl. Increased Poro with 5 %points</t>
  </si>
  <si>
    <t>P velocity: vp_gas, S velocity: vs_gas, Density: den_gas, Volume: vcl, Porosity: phie, Saturation: sw</t>
  </si>
  <si>
    <t>SST virgin</t>
  </si>
  <si>
    <t>Shale 1</t>
  </si>
  <si>
    <t>Shale 2</t>
  </si>
  <si>
    <t>SST oil gor40</t>
  </si>
  <si>
    <t>SST oil gor200</t>
  </si>
  <si>
    <t>SST oil gor400</t>
  </si>
  <si>
    <t>SST virgin hpor</t>
  </si>
  <si>
    <t>SST gas</t>
  </si>
  <si>
    <t>SST gas hpor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</si>
</sst>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985"/>
  <sheetViews>
    <sheetView tabSelected="1" workbookViewId="0">
      <pane ySplit="12" topLeftCell="A16" activePane="bottomLeft" state="frozen"/>
      <selection pane="bottomLeft" activeCell="A35" sqref="A35"/>
    </sheetView>
  </sheetViews>
  <sheetFormatPr defaultColWidth="14.42578125" defaultRowHeight="15" customHeight="1" x14ac:dyDescent="0.25"/>
  <cols>
    <col min="1" max="1" width="36.85546875" customWidth="1"/>
    <col min="2" max="8" width="13" hidden="1" customWidth="1"/>
    <col min="9" max="9" width="10.140625" customWidth="1"/>
    <col min="10" max="11" width="8.7109375" customWidth="1"/>
    <col min="12" max="12" width="11.28515625" customWidth="1"/>
    <col min="13" max="15" width="13" hidden="1" customWidth="1"/>
    <col min="16" max="16" width="9.140625" hidden="1" customWidth="1"/>
    <col min="17" max="17" width="13.5703125" hidden="1" customWidth="1"/>
    <col min="18" max="18" width="14.7109375" hidden="1" customWidth="1"/>
    <col min="19" max="29" width="8.7109375" hidden="1" customWidth="1"/>
    <col min="30" max="32" width="8.7109375" customWidth="1"/>
    <col min="33" max="35" width="8.7109375" hidden="1" customWidth="1"/>
    <col min="36" max="56" width="8.71093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56" x14ac:dyDescent="0.25">
      <c r="A17" s="1" t="s">
        <v>16</v>
      </c>
    </row>
    <row r="18" spans="1:56" x14ac:dyDescent="0.25">
      <c r="A18" s="1" t="s">
        <v>17</v>
      </c>
    </row>
    <row r="19" spans="1:56" x14ac:dyDescent="0.25">
      <c r="A19" s="1" t="s">
        <v>18</v>
      </c>
    </row>
    <row r="20" spans="1:56" x14ac:dyDescent="0.25">
      <c r="A20" s="1" t="s">
        <v>19</v>
      </c>
    </row>
    <row r="21" spans="1:56" ht="15.75" customHeight="1" x14ac:dyDescent="0.25">
      <c r="A21" s="1" t="s">
        <v>20</v>
      </c>
      <c r="B21" s="1" t="s">
        <v>21</v>
      </c>
      <c r="C21" s="1" t="s">
        <v>22</v>
      </c>
      <c r="D21" s="1" t="s">
        <v>23</v>
      </c>
      <c r="E21" s="1" t="s">
        <v>24</v>
      </c>
      <c r="F21" s="1" t="s">
        <v>25</v>
      </c>
      <c r="G21" s="1" t="s">
        <v>26</v>
      </c>
      <c r="H21" s="1" t="s">
        <v>27</v>
      </c>
      <c r="I21" s="1" t="s">
        <v>28</v>
      </c>
      <c r="J21" s="1" t="s">
        <v>29</v>
      </c>
      <c r="K21" s="1" t="s">
        <v>30</v>
      </c>
      <c r="L21" s="1" t="s">
        <v>31</v>
      </c>
      <c r="M21" s="1" t="s">
        <v>32</v>
      </c>
      <c r="N21" s="1" t="s">
        <v>33</v>
      </c>
      <c r="O21" s="1" t="s">
        <v>34</v>
      </c>
      <c r="P21" s="1" t="s">
        <v>35</v>
      </c>
      <c r="Q21" s="1" t="s">
        <v>36</v>
      </c>
      <c r="R21" s="1" t="s">
        <v>37</v>
      </c>
      <c r="S21" s="1" t="s">
        <v>38</v>
      </c>
      <c r="T21" s="1" t="s">
        <v>39</v>
      </c>
      <c r="U21" s="1" t="s">
        <v>40</v>
      </c>
      <c r="V21" s="1" t="s">
        <v>41</v>
      </c>
      <c r="W21" s="1" t="s">
        <v>42</v>
      </c>
      <c r="X21" s="1" t="s">
        <v>43</v>
      </c>
      <c r="Y21" s="1" t="s">
        <v>44</v>
      </c>
      <c r="Z21" s="1" t="s">
        <v>45</v>
      </c>
      <c r="AA21" s="1" t="s">
        <v>46</v>
      </c>
      <c r="AB21" s="1" t="s">
        <v>47</v>
      </c>
      <c r="AC21" s="1" t="s">
        <v>48</v>
      </c>
      <c r="AD21" s="1" t="s">
        <v>49</v>
      </c>
      <c r="AE21" s="1" t="s">
        <v>50</v>
      </c>
      <c r="AF21" s="1" t="s">
        <v>51</v>
      </c>
      <c r="AG21" s="1" t="s">
        <v>52</v>
      </c>
      <c r="AH21" s="1" t="s">
        <v>53</v>
      </c>
      <c r="AI21" s="1" t="s">
        <v>54</v>
      </c>
      <c r="AJ21" s="1" t="s">
        <v>55</v>
      </c>
      <c r="AK21" s="1" t="s">
        <v>56</v>
      </c>
      <c r="AL21" s="1" t="s">
        <v>57</v>
      </c>
      <c r="AM21" s="1" t="s">
        <v>58</v>
      </c>
      <c r="AN21" s="1" t="s">
        <v>59</v>
      </c>
      <c r="AO21" s="1" t="s">
        <v>60</v>
      </c>
      <c r="AP21" s="1" t="s">
        <v>61</v>
      </c>
      <c r="AQ21" s="1" t="s">
        <v>62</v>
      </c>
      <c r="AR21" s="1" t="s">
        <v>63</v>
      </c>
      <c r="AS21" s="1" t="s">
        <v>64</v>
      </c>
      <c r="AT21" s="1" t="s">
        <v>65</v>
      </c>
      <c r="AU21" s="1" t="s">
        <v>66</v>
      </c>
      <c r="AV21" s="1" t="s">
        <v>67</v>
      </c>
      <c r="AW21" s="1" t="s">
        <v>68</v>
      </c>
      <c r="AX21" s="1" t="s">
        <v>69</v>
      </c>
      <c r="AY21" s="1" t="s">
        <v>70</v>
      </c>
      <c r="AZ21" s="1" t="s">
        <v>71</v>
      </c>
      <c r="BA21" s="1" t="s">
        <v>72</v>
      </c>
      <c r="BB21" s="1" t="s">
        <v>73</v>
      </c>
      <c r="BC21" s="1" t="s">
        <v>74</v>
      </c>
      <c r="BD21" s="1" t="s">
        <v>75</v>
      </c>
    </row>
    <row r="22" spans="1:56" ht="15.75" customHeight="1" x14ac:dyDescent="0.25">
      <c r="A22" s="1" t="s">
        <v>76</v>
      </c>
      <c r="B22" s="1" t="s">
        <v>77</v>
      </c>
      <c r="C22" s="1" t="s">
        <v>78</v>
      </c>
      <c r="D22" s="1">
        <v>-999.25</v>
      </c>
      <c r="E22" s="1">
        <v>-999.25</v>
      </c>
      <c r="F22" s="1">
        <v>-999.25</v>
      </c>
      <c r="G22" s="1">
        <v>3536.7595824710902</v>
      </c>
      <c r="H22" s="1">
        <v>2126.058001096007</v>
      </c>
      <c r="I22" s="1">
        <v>2.251827493284027</v>
      </c>
      <c r="J22" s="1">
        <v>3535.5539551000002</v>
      </c>
      <c r="K22" s="1">
        <v>2127.2293700999999</v>
      </c>
      <c r="L22" s="1">
        <v>2.2633140087000001</v>
      </c>
      <c r="M22" s="1">
        <v>3536.7595824710902</v>
      </c>
      <c r="N22" s="1">
        <v>2126.058001096007</v>
      </c>
      <c r="O22" s="1">
        <v>2.251827493284027</v>
      </c>
      <c r="P22" s="1" t="s">
        <v>77</v>
      </c>
      <c r="Q22" s="1">
        <v>0.18219014173542011</v>
      </c>
      <c r="R22" s="1">
        <v>4.9667973927456463E-2</v>
      </c>
      <c r="S22" s="1">
        <v>-999.25</v>
      </c>
      <c r="T22" s="1">
        <v>-999.25</v>
      </c>
      <c r="U22" s="1">
        <v>-999.25</v>
      </c>
      <c r="V22" s="1">
        <v>-999.25</v>
      </c>
      <c r="W22" s="1">
        <v>-999.25</v>
      </c>
      <c r="X22" s="1">
        <v>-999.25</v>
      </c>
      <c r="Y22" s="1">
        <v>-999.25</v>
      </c>
      <c r="Z22" s="1">
        <v>-999.25</v>
      </c>
      <c r="AA22" s="1">
        <v>-999.25</v>
      </c>
      <c r="AB22" s="1">
        <v>-999.25</v>
      </c>
      <c r="AC22" s="1">
        <v>-999.25</v>
      </c>
      <c r="AD22" s="1">
        <v>307.16934595789212</v>
      </c>
      <c r="AE22" s="1">
        <v>180.57777586085939</v>
      </c>
      <c r="AF22" s="1">
        <v>0.11973436819567659</v>
      </c>
      <c r="AG22" s="1">
        <v>-999.25</v>
      </c>
      <c r="AH22" s="1">
        <v>-999.25</v>
      </c>
      <c r="AI22" s="1">
        <v>-999.25</v>
      </c>
      <c r="AJ22" s="1">
        <v>0.8852255122676389</v>
      </c>
      <c r="AK22" s="1">
        <v>0.49117635440333118</v>
      </c>
      <c r="AL22" s="1">
        <v>0.58454380824211261</v>
      </c>
      <c r="AM22" s="1">
        <v>-999.25</v>
      </c>
      <c r="AN22" s="1">
        <v>-999.25</v>
      </c>
      <c r="AO22" s="1">
        <v>-999.25</v>
      </c>
      <c r="AP22" s="1">
        <v>-999.25</v>
      </c>
      <c r="AQ22" s="1">
        <v>-999.25</v>
      </c>
      <c r="AR22" s="1">
        <v>-999.25</v>
      </c>
      <c r="AS22" s="1">
        <v>-999.25</v>
      </c>
      <c r="AT22" s="1">
        <v>-999.25</v>
      </c>
      <c r="AU22" s="1">
        <v>-999.25</v>
      </c>
      <c r="AV22" s="1">
        <v>-999.25</v>
      </c>
      <c r="AW22" s="1">
        <v>-999.25</v>
      </c>
      <c r="AX22" s="1">
        <v>0.1826996772724345</v>
      </c>
      <c r="AY22" s="1">
        <v>0.1033837789072769</v>
      </c>
      <c r="AZ22" s="1" t="s">
        <v>79</v>
      </c>
      <c r="BA22" s="1">
        <v>0</v>
      </c>
      <c r="BB22" s="1" t="s">
        <v>80</v>
      </c>
      <c r="BC22" s="1" t="s">
        <v>81</v>
      </c>
      <c r="BD22" s="2">
        <v>44321.990060479373</v>
      </c>
    </row>
    <row r="23" spans="1:56" ht="15.75" customHeight="1" x14ac:dyDescent="0.25">
      <c r="A23" s="1" t="s">
        <v>82</v>
      </c>
      <c r="B23" s="1" t="s">
        <v>77</v>
      </c>
      <c r="C23" s="1" t="s">
        <v>78</v>
      </c>
      <c r="D23" s="1">
        <v>-999.25</v>
      </c>
      <c r="E23" s="1">
        <v>-999.25</v>
      </c>
      <c r="F23" s="1">
        <v>-999.25</v>
      </c>
      <c r="G23" s="1">
        <v>3587.0302758258108</v>
      </c>
      <c r="H23" s="1">
        <v>2093.6517837462561</v>
      </c>
      <c r="I23" s="1">
        <v>2.3207717919217759</v>
      </c>
      <c r="J23" s="1">
        <v>3587.3094482500001</v>
      </c>
      <c r="K23" s="1">
        <v>2097.3640136499998</v>
      </c>
      <c r="L23" s="1">
        <v>2.3270223140500002</v>
      </c>
      <c r="M23" s="1">
        <v>3587.0302758258108</v>
      </c>
      <c r="N23" s="1">
        <v>2093.6517837462561</v>
      </c>
      <c r="O23" s="1">
        <v>2.3207717919217759</v>
      </c>
      <c r="P23" s="1" t="s">
        <v>77</v>
      </c>
      <c r="Q23" s="1">
        <v>0.18219014173542011</v>
      </c>
      <c r="R23" s="1">
        <v>4.9667973927456463E-2</v>
      </c>
      <c r="S23" s="1">
        <v>-999.25</v>
      </c>
      <c r="T23" s="1">
        <v>-999.25</v>
      </c>
      <c r="U23" s="1">
        <v>-999.25</v>
      </c>
      <c r="V23" s="1">
        <v>-999.25</v>
      </c>
      <c r="W23" s="1">
        <v>-999.25</v>
      </c>
      <c r="X23" s="1">
        <v>-999.25</v>
      </c>
      <c r="Y23" s="1">
        <v>-999.25</v>
      </c>
      <c r="Z23" s="1">
        <v>-999.25</v>
      </c>
      <c r="AA23" s="1">
        <v>-999.25</v>
      </c>
      <c r="AB23" s="1">
        <v>-999.25</v>
      </c>
      <c r="AC23" s="1">
        <v>-999.25</v>
      </c>
      <c r="AD23" s="1">
        <v>287.70374431765839</v>
      </c>
      <c r="AE23" s="1">
        <v>186.95345554598359</v>
      </c>
      <c r="AF23" s="1">
        <v>9.8206879440866007E-2</v>
      </c>
      <c r="AG23" s="1">
        <v>-999.25</v>
      </c>
      <c r="AH23" s="1">
        <v>-999.25</v>
      </c>
      <c r="AI23" s="1">
        <v>-999.25</v>
      </c>
      <c r="AJ23" s="1">
        <v>0.90926583297574026</v>
      </c>
      <c r="AK23" s="1">
        <v>0.57997538817838357</v>
      </c>
      <c r="AL23" s="1">
        <v>0.63448487637688245</v>
      </c>
      <c r="AM23" s="1">
        <v>-999.25</v>
      </c>
      <c r="AN23" s="1">
        <v>-999.25</v>
      </c>
      <c r="AO23" s="1">
        <v>-999.25</v>
      </c>
      <c r="AP23" s="1">
        <v>-999.25</v>
      </c>
      <c r="AQ23" s="1">
        <v>-999.25</v>
      </c>
      <c r="AR23" s="1">
        <v>-999.25</v>
      </c>
      <c r="AS23" s="1">
        <v>-999.25</v>
      </c>
      <c r="AT23" s="1">
        <v>-999.25</v>
      </c>
      <c r="AU23" s="1">
        <v>-999.25</v>
      </c>
      <c r="AV23" s="1">
        <v>-999.25</v>
      </c>
      <c r="AW23" s="1">
        <v>-999.25</v>
      </c>
      <c r="AX23" s="1">
        <v>0.1826996772724345</v>
      </c>
      <c r="AY23" s="1">
        <v>0.1033837789072769</v>
      </c>
      <c r="AZ23" s="1" t="s">
        <v>79</v>
      </c>
      <c r="BA23" s="1">
        <v>0</v>
      </c>
      <c r="BB23" s="1" t="s">
        <v>80</v>
      </c>
      <c r="BC23" s="1" t="s">
        <v>83</v>
      </c>
      <c r="BD23" s="2">
        <v>44321.990063610348</v>
      </c>
    </row>
    <row r="24" spans="1:56" ht="15.75" customHeight="1" x14ac:dyDescent="0.25">
      <c r="A24" s="1" t="s">
        <v>84</v>
      </c>
      <c r="B24" s="1" t="s">
        <v>77</v>
      </c>
      <c r="C24" s="1" t="s">
        <v>78</v>
      </c>
      <c r="D24" s="1">
        <v>-999.25</v>
      </c>
      <c r="E24" s="1">
        <v>-999.25</v>
      </c>
      <c r="F24" s="1">
        <v>-999.25</v>
      </c>
      <c r="G24" s="1">
        <v>3674.055590842263</v>
      </c>
      <c r="H24" s="1">
        <v>2080.578582308111</v>
      </c>
      <c r="I24" s="1">
        <v>2.3498699907049918</v>
      </c>
      <c r="J24" s="1">
        <v>3674.6311034999999</v>
      </c>
      <c r="K24" s="1">
        <v>2085.7104491999999</v>
      </c>
      <c r="L24" s="1">
        <v>2.3588908910500002</v>
      </c>
      <c r="M24" s="1">
        <v>3674.055590842263</v>
      </c>
      <c r="N24" s="1">
        <v>2080.578582308111</v>
      </c>
      <c r="O24" s="1">
        <v>2.3498699907049918</v>
      </c>
      <c r="P24" s="1" t="s">
        <v>77</v>
      </c>
      <c r="Q24" s="1">
        <v>0.18219014173542011</v>
      </c>
      <c r="R24" s="1">
        <v>4.9667973927456463E-2</v>
      </c>
      <c r="S24" s="1">
        <v>-999.25</v>
      </c>
      <c r="T24" s="1">
        <v>-999.25</v>
      </c>
      <c r="U24" s="1">
        <v>-999.25</v>
      </c>
      <c r="V24" s="1">
        <v>-999.25</v>
      </c>
      <c r="W24" s="1">
        <v>-999.25</v>
      </c>
      <c r="X24" s="1">
        <v>-999.25</v>
      </c>
      <c r="Y24" s="1">
        <v>-999.25</v>
      </c>
      <c r="Z24" s="1">
        <v>-999.25</v>
      </c>
      <c r="AA24" s="1">
        <v>-999.25</v>
      </c>
      <c r="AB24" s="1">
        <v>-999.25</v>
      </c>
      <c r="AC24" s="1">
        <v>-999.25</v>
      </c>
      <c r="AD24" s="1">
        <v>261.87985256899782</v>
      </c>
      <c r="AE24" s="1">
        <v>188.46273074274961</v>
      </c>
      <c r="AF24" s="1">
        <v>9.16899640055856E-2</v>
      </c>
      <c r="AG24" s="1">
        <v>-999.25</v>
      </c>
      <c r="AH24" s="1">
        <v>-999.25</v>
      </c>
      <c r="AI24" s="1">
        <v>-999.25</v>
      </c>
      <c r="AJ24" s="1">
        <v>0.92375602165040738</v>
      </c>
      <c r="AK24" s="1">
        <v>0.61516523412211277</v>
      </c>
      <c r="AL24" s="1">
        <v>0.65280433441963215</v>
      </c>
      <c r="AM24" s="1">
        <v>-999.25</v>
      </c>
      <c r="AN24" s="1">
        <v>-999.25</v>
      </c>
      <c r="AO24" s="1">
        <v>-999.25</v>
      </c>
      <c r="AP24" s="1">
        <v>-999.25</v>
      </c>
      <c r="AQ24" s="1">
        <v>-999.25</v>
      </c>
      <c r="AR24" s="1">
        <v>-999.25</v>
      </c>
      <c r="AS24" s="1">
        <v>-999.25</v>
      </c>
      <c r="AT24" s="1">
        <v>-999.25</v>
      </c>
      <c r="AU24" s="1">
        <v>-999.25</v>
      </c>
      <c r="AV24" s="1">
        <v>-999.25</v>
      </c>
      <c r="AW24" s="1">
        <v>-999.25</v>
      </c>
      <c r="AX24" s="1">
        <v>0.1826996772724345</v>
      </c>
      <c r="AY24" s="1">
        <v>0.1033837789072769</v>
      </c>
      <c r="AZ24" s="1" t="s">
        <v>79</v>
      </c>
      <c r="BA24" s="1">
        <v>0</v>
      </c>
      <c r="BB24" s="1" t="s">
        <v>80</v>
      </c>
      <c r="BC24" s="1" t="s">
        <v>85</v>
      </c>
      <c r="BD24" s="2">
        <v>44321.99006687168</v>
      </c>
    </row>
    <row r="25" spans="1:56" ht="15.75" customHeight="1" x14ac:dyDescent="0.25">
      <c r="A25" s="1" t="s">
        <v>86</v>
      </c>
      <c r="B25" s="1" t="s">
        <v>77</v>
      </c>
      <c r="C25" s="1" t="s">
        <v>78</v>
      </c>
      <c r="D25" s="1">
        <v>-999.25</v>
      </c>
      <c r="E25" s="1">
        <v>-999.25</v>
      </c>
      <c r="F25" s="1">
        <v>-999.25</v>
      </c>
      <c r="G25" s="1">
        <v>3451.360182707956</v>
      </c>
      <c r="H25" s="1">
        <v>1780.0299556313921</v>
      </c>
      <c r="I25" s="1">
        <v>2.6006564854734231</v>
      </c>
      <c r="J25" s="1">
        <v>3444.8068847999998</v>
      </c>
      <c r="K25" s="1">
        <v>1767.2089844</v>
      </c>
      <c r="L25" s="1">
        <v>2.5967384576999999</v>
      </c>
      <c r="M25" s="1">
        <v>3451.360182707956</v>
      </c>
      <c r="N25" s="1">
        <v>1780.0299556313921</v>
      </c>
      <c r="O25" s="1">
        <v>2.6006564854734231</v>
      </c>
      <c r="P25" s="1" t="s">
        <v>77</v>
      </c>
      <c r="Q25" s="1">
        <v>7.5192470824377536E-2</v>
      </c>
      <c r="R25" s="1">
        <v>1.847679909232354E-2</v>
      </c>
      <c r="S25" s="1">
        <v>-999.25</v>
      </c>
      <c r="T25" s="1">
        <v>-999.25</v>
      </c>
      <c r="U25" s="1">
        <v>-999.25</v>
      </c>
      <c r="V25" s="1">
        <v>-999.25</v>
      </c>
      <c r="W25" s="1">
        <v>-999.25</v>
      </c>
      <c r="X25" s="1">
        <v>-999.25</v>
      </c>
      <c r="Y25" s="1">
        <v>-999.25</v>
      </c>
      <c r="Z25" s="1">
        <v>-999.25</v>
      </c>
      <c r="AA25" s="1">
        <v>-999.25</v>
      </c>
      <c r="AB25" s="1">
        <v>-999.25</v>
      </c>
      <c r="AC25" s="1">
        <v>-999.25</v>
      </c>
      <c r="AD25" s="1">
        <v>208.3694481399036</v>
      </c>
      <c r="AE25" s="1">
        <v>170.75972017428501</v>
      </c>
      <c r="AF25" s="1">
        <v>3.61705184127767E-2</v>
      </c>
      <c r="AG25" s="1">
        <v>-999.25</v>
      </c>
      <c r="AH25" s="1">
        <v>-999.25</v>
      </c>
      <c r="AI25" s="1">
        <v>-999.25</v>
      </c>
      <c r="AJ25" s="1">
        <v>0.89110613262564842</v>
      </c>
      <c r="AK25" s="1">
        <v>8.2858894782529779E-2</v>
      </c>
      <c r="AL25" s="1">
        <v>-6.5721925884184934E-2</v>
      </c>
      <c r="AM25" s="1">
        <v>-999.25</v>
      </c>
      <c r="AN25" s="1">
        <v>-999.25</v>
      </c>
      <c r="AO25" s="1">
        <v>-999.25</v>
      </c>
      <c r="AP25" s="1">
        <v>-999.25</v>
      </c>
      <c r="AQ25" s="1">
        <v>-999.25</v>
      </c>
      <c r="AR25" s="1">
        <v>-999.25</v>
      </c>
      <c r="AS25" s="1">
        <v>-999.25</v>
      </c>
      <c r="AT25" s="1">
        <v>-999.25</v>
      </c>
      <c r="AU25" s="1">
        <v>-999.25</v>
      </c>
      <c r="AV25" s="1">
        <v>-999.25</v>
      </c>
      <c r="AW25" s="1">
        <v>-999.25</v>
      </c>
      <c r="AX25" s="1">
        <v>0.78911258141081053</v>
      </c>
      <c r="AY25" s="1">
        <v>0.1653561153512606</v>
      </c>
      <c r="AZ25" s="1" t="s">
        <v>79</v>
      </c>
      <c r="BA25" s="1">
        <v>0</v>
      </c>
      <c r="BB25" s="1" t="s">
        <v>87</v>
      </c>
      <c r="BC25" s="1" t="s">
        <v>88</v>
      </c>
      <c r="BD25" s="2">
        <v>44321.990070173029</v>
      </c>
    </row>
    <row r="26" spans="1:56" x14ac:dyDescent="0.25">
      <c r="A26" t="s">
        <v>99</v>
      </c>
      <c r="B26" t="s">
        <v>77</v>
      </c>
      <c r="C26" t="s">
        <v>78</v>
      </c>
      <c r="D26">
        <v>-999.25</v>
      </c>
      <c r="E26">
        <v>-999.25</v>
      </c>
      <c r="F26">
        <v>-999.25</v>
      </c>
      <c r="G26">
        <v>3685.8255343571991</v>
      </c>
      <c r="H26">
        <v>2031.2446164906851</v>
      </c>
      <c r="I26">
        <v>2.339779644791478</v>
      </c>
      <c r="J26">
        <v>3672.7305659130811</v>
      </c>
      <c r="K26">
        <v>2001.2039990417829</v>
      </c>
      <c r="L26">
        <v>2.3327475524736139</v>
      </c>
      <c r="M26">
        <v>3685.8255343571991</v>
      </c>
      <c r="N26">
        <v>2031.2446164906851</v>
      </c>
      <c r="O26">
        <v>2.339779644791478</v>
      </c>
      <c r="P26" t="s">
        <v>77</v>
      </c>
      <c r="Q26">
        <v>0.19514522363134179</v>
      </c>
      <c r="R26">
        <v>3.4364204986031363E-2</v>
      </c>
      <c r="S26">
        <v>-999.25</v>
      </c>
      <c r="T26">
        <v>-999.25</v>
      </c>
      <c r="U26">
        <v>-999.25</v>
      </c>
      <c r="V26">
        <v>-999.25</v>
      </c>
      <c r="W26">
        <v>-999.25</v>
      </c>
      <c r="X26">
        <v>-999.25</v>
      </c>
      <c r="Y26">
        <v>-999.25</v>
      </c>
      <c r="Z26">
        <v>-999.25</v>
      </c>
      <c r="AA26">
        <v>-999.25</v>
      </c>
      <c r="AB26">
        <v>-999.25</v>
      </c>
      <c r="AC26">
        <v>-999.25</v>
      </c>
      <c r="AD26">
        <v>312.32649654333039</v>
      </c>
      <c r="AE26">
        <v>202.06209693068351</v>
      </c>
      <c r="AF26">
        <v>6.1097586922034021E-2</v>
      </c>
      <c r="AG26">
        <v>-999.25</v>
      </c>
      <c r="AH26">
        <v>-999.25</v>
      </c>
      <c r="AI26">
        <v>-999.25</v>
      </c>
      <c r="AJ26">
        <v>0.13825580779841279</v>
      </c>
      <c r="AK26">
        <v>0.77010658766299978</v>
      </c>
      <c r="AL26">
        <v>7.8402952834555992E-2</v>
      </c>
      <c r="AM26">
        <v>-999.25</v>
      </c>
      <c r="AN26">
        <v>-999.25</v>
      </c>
      <c r="AO26">
        <v>-999.25</v>
      </c>
      <c r="AP26">
        <v>-999.25</v>
      </c>
      <c r="AQ26">
        <v>-999.25</v>
      </c>
      <c r="AR26">
        <v>-999.25</v>
      </c>
      <c r="AS26">
        <v>-999.25</v>
      </c>
      <c r="AT26">
        <v>-999.25</v>
      </c>
      <c r="AU26">
        <v>-999.25</v>
      </c>
      <c r="AV26">
        <v>-999.25</v>
      </c>
      <c r="AW26">
        <v>-999.25</v>
      </c>
      <c r="AX26">
        <v>0.15221110055572201</v>
      </c>
      <c r="AY26">
        <v>6.964339823963607E-2</v>
      </c>
      <c r="AZ26" t="s">
        <v>79</v>
      </c>
      <c r="BA26">
        <v>0</v>
      </c>
      <c r="BB26" t="s">
        <v>89</v>
      </c>
      <c r="BC26" t="s">
        <v>90</v>
      </c>
      <c r="BD26" s="3">
        <v>45573.751317372677</v>
      </c>
    </row>
    <row r="27" spans="1:56" x14ac:dyDescent="0.25">
      <c r="A27" t="s">
        <v>100</v>
      </c>
      <c r="B27" t="s">
        <v>77</v>
      </c>
      <c r="C27" t="s">
        <v>78</v>
      </c>
      <c r="D27">
        <v>-999.25</v>
      </c>
      <c r="E27">
        <v>-999.25</v>
      </c>
      <c r="F27">
        <v>-999.25</v>
      </c>
      <c r="G27">
        <v>2897.89921076158</v>
      </c>
      <c r="H27">
        <v>1389.0070632926111</v>
      </c>
      <c r="I27">
        <v>2.4296766944453738</v>
      </c>
      <c r="J27">
        <v>2855.616346930482</v>
      </c>
      <c r="K27">
        <v>1348.761253531683</v>
      </c>
      <c r="L27">
        <v>2.4172242051579809</v>
      </c>
      <c r="M27">
        <v>2897.89921076158</v>
      </c>
      <c r="N27">
        <v>1389.0070632926111</v>
      </c>
      <c r="O27">
        <v>2.4296766944453738</v>
      </c>
      <c r="P27" t="s">
        <v>77</v>
      </c>
      <c r="Q27">
        <v>0.1626841495653861</v>
      </c>
      <c r="R27">
        <v>5.4577610200095203E-2</v>
      </c>
      <c r="S27">
        <v>-999.25</v>
      </c>
      <c r="T27">
        <v>-999.25</v>
      </c>
      <c r="U27">
        <v>-999.25</v>
      </c>
      <c r="V27">
        <v>-999.25</v>
      </c>
      <c r="W27">
        <v>-999.25</v>
      </c>
      <c r="X27">
        <v>-999.25</v>
      </c>
      <c r="Y27">
        <v>-999.25</v>
      </c>
      <c r="Z27">
        <v>-999.25</v>
      </c>
      <c r="AA27">
        <v>-999.25</v>
      </c>
      <c r="AB27">
        <v>-999.25</v>
      </c>
      <c r="AC27">
        <v>-999.25</v>
      </c>
      <c r="AD27">
        <v>254.99388247289679</v>
      </c>
      <c r="AE27">
        <v>190.94407460929909</v>
      </c>
      <c r="AF27">
        <v>9.8213704739580562E-2</v>
      </c>
      <c r="AG27">
        <v>-999.25</v>
      </c>
      <c r="AH27">
        <v>-999.25</v>
      </c>
      <c r="AI27">
        <v>-999.25</v>
      </c>
      <c r="AJ27">
        <v>0.10062806527467</v>
      </c>
      <c r="AK27">
        <v>-3.8559471352780733E-2</v>
      </c>
      <c r="AL27">
        <v>0.19745714141789319</v>
      </c>
      <c r="AM27">
        <v>-999.25</v>
      </c>
      <c r="AN27">
        <v>-999.25</v>
      </c>
      <c r="AO27">
        <v>-999.25</v>
      </c>
      <c r="AP27">
        <v>-999.25</v>
      </c>
      <c r="AQ27">
        <v>-999.25</v>
      </c>
      <c r="AR27">
        <v>-999.25</v>
      </c>
      <c r="AS27">
        <v>-999.25</v>
      </c>
      <c r="AT27">
        <v>-999.25</v>
      </c>
      <c r="AU27">
        <v>-999.25</v>
      </c>
      <c r="AV27">
        <v>-999.25</v>
      </c>
      <c r="AW27">
        <v>-999.25</v>
      </c>
      <c r="AX27">
        <v>0.91502212039403197</v>
      </c>
      <c r="AY27">
        <v>9.5948254853623863E-2</v>
      </c>
      <c r="AZ27" t="s">
        <v>79</v>
      </c>
      <c r="BA27">
        <v>0</v>
      </c>
      <c r="BB27" t="s">
        <v>91</v>
      </c>
      <c r="BC27" t="s">
        <v>90</v>
      </c>
      <c r="BD27" s="3">
        <v>45589.366849062499</v>
      </c>
    </row>
    <row r="28" spans="1:56" x14ac:dyDescent="0.25">
      <c r="A28" t="s">
        <v>101</v>
      </c>
      <c r="B28" t="s">
        <v>77</v>
      </c>
      <c r="C28" t="s">
        <v>78</v>
      </c>
      <c r="D28">
        <v>-999.25</v>
      </c>
      <c r="E28">
        <v>-999.25</v>
      </c>
      <c r="F28">
        <v>-999.25</v>
      </c>
      <c r="G28">
        <v>2887.5843683716539</v>
      </c>
      <c r="H28">
        <v>1683.520801218245</v>
      </c>
      <c r="I28">
        <v>2.3917836872262059</v>
      </c>
      <c r="J28">
        <v>2873.076802018662</v>
      </c>
      <c r="K28">
        <v>1685.9331210948651</v>
      </c>
      <c r="L28">
        <v>2.3892558848122958</v>
      </c>
      <c r="M28">
        <v>2887.5843683716539</v>
      </c>
      <c r="N28">
        <v>1683.520801218245</v>
      </c>
      <c r="O28">
        <v>2.3917836872262059</v>
      </c>
      <c r="P28" t="s">
        <v>77</v>
      </c>
      <c r="Q28">
        <v>0.19048446853487519</v>
      </c>
      <c r="R28">
        <v>7.509609571816793E-2</v>
      </c>
      <c r="S28">
        <v>-999.25</v>
      </c>
      <c r="T28">
        <v>-999.25</v>
      </c>
      <c r="U28">
        <v>-999.25</v>
      </c>
      <c r="V28">
        <v>-999.25</v>
      </c>
      <c r="W28">
        <v>-999.25</v>
      </c>
      <c r="X28">
        <v>-999.25</v>
      </c>
      <c r="Y28">
        <v>-999.25</v>
      </c>
      <c r="Z28">
        <v>-999.25</v>
      </c>
      <c r="AA28">
        <v>-999.25</v>
      </c>
      <c r="AB28">
        <v>-999.25</v>
      </c>
      <c r="AC28">
        <v>-999.25</v>
      </c>
      <c r="AD28">
        <v>191.220051602832</v>
      </c>
      <c r="AE28">
        <v>113.5925428050402</v>
      </c>
      <c r="AF28">
        <v>6.7696393323853743E-2</v>
      </c>
      <c r="AG28">
        <v>-999.25</v>
      </c>
      <c r="AH28">
        <v>-999.25</v>
      </c>
      <c r="AI28">
        <v>-999.25</v>
      </c>
      <c r="AJ28">
        <v>7.7370391616803022E-2</v>
      </c>
      <c r="AK28">
        <v>-0.1223960835610936</v>
      </c>
      <c r="AL28">
        <v>0.2043189064174272</v>
      </c>
      <c r="AM28">
        <v>-999.25</v>
      </c>
      <c r="AN28">
        <v>-999.25</v>
      </c>
      <c r="AO28">
        <v>-999.25</v>
      </c>
      <c r="AP28">
        <v>-999.25</v>
      </c>
      <c r="AQ28">
        <v>-999.25</v>
      </c>
      <c r="AR28">
        <v>-999.25</v>
      </c>
      <c r="AS28">
        <v>-999.25</v>
      </c>
      <c r="AT28">
        <v>-999.25</v>
      </c>
      <c r="AU28">
        <v>-999.25</v>
      </c>
      <c r="AV28">
        <v>-999.25</v>
      </c>
      <c r="AW28">
        <v>-999.25</v>
      </c>
      <c r="AX28">
        <v>0.82466574674048332</v>
      </c>
      <c r="AY28">
        <v>0.1224613656013388</v>
      </c>
      <c r="AZ28" t="s">
        <v>79</v>
      </c>
      <c r="BA28">
        <v>0</v>
      </c>
      <c r="BB28" t="s">
        <v>92</v>
      </c>
      <c r="BC28" t="s">
        <v>90</v>
      </c>
      <c r="BD28" s="3">
        <v>45589.471347361112</v>
      </c>
    </row>
    <row r="29" spans="1:56" x14ac:dyDescent="0.25">
      <c r="A29" t="s">
        <v>102</v>
      </c>
      <c r="B29" t="s">
        <v>77</v>
      </c>
      <c r="C29" t="s">
        <v>78</v>
      </c>
      <c r="D29">
        <v>-999.25</v>
      </c>
      <c r="E29">
        <v>-999.25</v>
      </c>
      <c r="F29">
        <v>-999.25</v>
      </c>
      <c r="G29">
        <v>3664.2029439608559</v>
      </c>
      <c r="H29">
        <v>2056.6849904498308</v>
      </c>
      <c r="I29">
        <v>2.331635937427488</v>
      </c>
      <c r="J29">
        <v>3641.645739570607</v>
      </c>
      <c r="K29">
        <v>2038.9166108904301</v>
      </c>
      <c r="L29">
        <v>2.3241393526968319</v>
      </c>
      <c r="M29">
        <v>3664.2029439608559</v>
      </c>
      <c r="N29">
        <v>2056.6849904498308</v>
      </c>
      <c r="O29">
        <v>2.331635937427488</v>
      </c>
      <c r="P29" t="s">
        <v>77</v>
      </c>
      <c r="Q29">
        <v>0.18101531017762759</v>
      </c>
      <c r="R29">
        <v>4.0902601682939077E-2</v>
      </c>
      <c r="S29">
        <v>-999.25</v>
      </c>
      <c r="T29">
        <v>-999.25</v>
      </c>
      <c r="U29">
        <v>-999.25</v>
      </c>
      <c r="V29">
        <v>-999.25</v>
      </c>
      <c r="W29">
        <v>-999.25</v>
      </c>
      <c r="X29">
        <v>-999.25</v>
      </c>
      <c r="Y29">
        <v>-999.25</v>
      </c>
      <c r="Z29">
        <v>-999.25</v>
      </c>
      <c r="AA29">
        <v>-999.25</v>
      </c>
      <c r="AB29">
        <v>-999.25</v>
      </c>
      <c r="AC29">
        <v>-999.25</v>
      </c>
      <c r="AD29">
        <v>322.85676349240862</v>
      </c>
      <c r="AE29">
        <v>214.85911595884011</v>
      </c>
      <c r="AF29">
        <v>6.2708172136098084E-2</v>
      </c>
      <c r="AG29">
        <v>-999.25</v>
      </c>
      <c r="AH29">
        <v>-999.25</v>
      </c>
      <c r="AI29">
        <v>-999.25</v>
      </c>
      <c r="AJ29">
        <v>0.87139948067939488</v>
      </c>
      <c r="AK29">
        <v>0.77435180405617521</v>
      </c>
      <c r="AL29">
        <v>0.7020783006519945</v>
      </c>
      <c r="AM29">
        <v>-999.25</v>
      </c>
      <c r="AN29">
        <v>-999.25</v>
      </c>
      <c r="AO29">
        <v>-999.25</v>
      </c>
      <c r="AP29">
        <v>-999.25</v>
      </c>
      <c r="AQ29">
        <v>-999.25</v>
      </c>
      <c r="AR29">
        <v>-999.25</v>
      </c>
      <c r="AS29">
        <v>-999.25</v>
      </c>
      <c r="AT29">
        <v>-999.25</v>
      </c>
      <c r="AU29">
        <v>-999.25</v>
      </c>
      <c r="AV29">
        <v>-999.25</v>
      </c>
      <c r="AW29">
        <v>-999.25</v>
      </c>
      <c r="AX29">
        <v>0.1522343317772587</v>
      </c>
      <c r="AY29">
        <v>6.970668208696694E-2</v>
      </c>
      <c r="AZ29" t="s">
        <v>79</v>
      </c>
      <c r="BA29">
        <v>0</v>
      </c>
      <c r="BB29" t="s">
        <v>93</v>
      </c>
      <c r="BC29" t="s">
        <v>94</v>
      </c>
      <c r="BD29" s="3">
        <v>45595.639107858799</v>
      </c>
    </row>
    <row r="30" spans="1:56" x14ac:dyDescent="0.25">
      <c r="A30" t="s">
        <v>103</v>
      </c>
      <c r="B30" t="s">
        <v>77</v>
      </c>
      <c r="C30" t="s">
        <v>78</v>
      </c>
      <c r="D30">
        <v>-999.25</v>
      </c>
      <c r="E30">
        <v>-999.25</v>
      </c>
      <c r="F30">
        <v>-999.25</v>
      </c>
      <c r="G30">
        <v>3636.4431103020652</v>
      </c>
      <c r="H30">
        <v>2058.7537524451132</v>
      </c>
      <c r="I30">
        <v>2.3273648894026429</v>
      </c>
      <c r="J30">
        <v>3635.2404684663452</v>
      </c>
      <c r="K30">
        <v>2039.5852023712939</v>
      </c>
      <c r="L30">
        <v>2.32143483107737</v>
      </c>
      <c r="M30">
        <v>3636.4431103020652</v>
      </c>
      <c r="N30">
        <v>2058.7537524451132</v>
      </c>
      <c r="O30">
        <v>2.3273648894026429</v>
      </c>
      <c r="P30" t="s">
        <v>77</v>
      </c>
      <c r="Q30">
        <v>0.18090965277808779</v>
      </c>
      <c r="R30">
        <v>4.0795289704241823E-2</v>
      </c>
      <c r="S30">
        <v>-999.25</v>
      </c>
      <c r="T30">
        <v>-999.25</v>
      </c>
      <c r="U30">
        <v>-999.25</v>
      </c>
      <c r="V30">
        <v>-999.25</v>
      </c>
      <c r="W30">
        <v>-999.25</v>
      </c>
      <c r="X30">
        <v>-999.25</v>
      </c>
      <c r="Y30">
        <v>-999.25</v>
      </c>
      <c r="Z30">
        <v>-999.25</v>
      </c>
      <c r="AA30">
        <v>-999.25</v>
      </c>
      <c r="AB30">
        <v>-999.25</v>
      </c>
      <c r="AC30">
        <v>-999.25</v>
      </c>
      <c r="AD30">
        <v>339.49996761720018</v>
      </c>
      <c r="AE30">
        <v>215.7269651645324</v>
      </c>
      <c r="AF30">
        <v>6.3590334634895357E-2</v>
      </c>
      <c r="AG30">
        <v>-999.25</v>
      </c>
      <c r="AH30">
        <v>-999.25</v>
      </c>
      <c r="AI30">
        <v>-999.25</v>
      </c>
      <c r="AJ30">
        <v>0.8638043709525508</v>
      </c>
      <c r="AK30">
        <v>0.78111613515990619</v>
      </c>
      <c r="AL30">
        <v>0.70150277773748448</v>
      </c>
      <c r="AM30">
        <v>-999.25</v>
      </c>
      <c r="AN30">
        <v>-999.25</v>
      </c>
      <c r="AO30">
        <v>-999.25</v>
      </c>
      <c r="AP30">
        <v>-999.25</v>
      </c>
      <c r="AQ30">
        <v>-999.25</v>
      </c>
      <c r="AR30">
        <v>-999.25</v>
      </c>
      <c r="AS30">
        <v>-999.25</v>
      </c>
      <c r="AT30">
        <v>-999.25</v>
      </c>
      <c r="AU30">
        <v>-999.25</v>
      </c>
      <c r="AV30">
        <v>-999.25</v>
      </c>
      <c r="AW30">
        <v>-999.25</v>
      </c>
      <c r="AX30">
        <v>0.1519626976352659</v>
      </c>
      <c r="AY30">
        <v>6.9791190833988034E-2</v>
      </c>
      <c r="AZ30" t="s">
        <v>79</v>
      </c>
      <c r="BA30">
        <v>0</v>
      </c>
      <c r="BB30" t="s">
        <v>93</v>
      </c>
      <c r="BC30" t="s">
        <v>95</v>
      </c>
      <c r="BD30" s="3">
        <v>45595.63916309028</v>
      </c>
    </row>
    <row r="31" spans="1:56" x14ac:dyDescent="0.25">
      <c r="A31" t="s">
        <v>104</v>
      </c>
      <c r="B31" t="s">
        <v>77</v>
      </c>
      <c r="C31" t="s">
        <v>78</v>
      </c>
      <c r="D31">
        <v>-999.25</v>
      </c>
      <c r="E31">
        <v>-999.25</v>
      </c>
      <c r="F31">
        <v>-999.25</v>
      </c>
      <c r="G31">
        <v>3613.0787351197828</v>
      </c>
      <c r="H31">
        <v>2060.8823626626399</v>
      </c>
      <c r="I31">
        <v>2.32437426725755</v>
      </c>
      <c r="J31">
        <v>3607.1013483812499</v>
      </c>
      <c r="K31">
        <v>2038.753305815377</v>
      </c>
      <c r="L31">
        <v>2.3165388488334671</v>
      </c>
      <c r="M31">
        <v>3613.0787351197828</v>
      </c>
      <c r="N31">
        <v>2060.8823626626399</v>
      </c>
      <c r="O31">
        <v>2.32437426725755</v>
      </c>
      <c r="P31" t="s">
        <v>77</v>
      </c>
      <c r="Q31">
        <v>0.18107453627176059</v>
      </c>
      <c r="R31">
        <v>4.0419384454894763E-2</v>
      </c>
      <c r="S31">
        <v>-999.25</v>
      </c>
      <c r="T31">
        <v>-999.25</v>
      </c>
      <c r="U31">
        <v>-999.25</v>
      </c>
      <c r="V31">
        <v>-999.25</v>
      </c>
      <c r="W31">
        <v>-999.25</v>
      </c>
      <c r="X31">
        <v>-999.25</v>
      </c>
      <c r="Y31">
        <v>-999.25</v>
      </c>
      <c r="Z31">
        <v>-999.25</v>
      </c>
      <c r="AA31">
        <v>-999.25</v>
      </c>
      <c r="AB31">
        <v>-999.25</v>
      </c>
      <c r="AC31">
        <v>-999.25</v>
      </c>
      <c r="AD31">
        <v>355.23231475885802</v>
      </c>
      <c r="AE31">
        <v>212.86939126102499</v>
      </c>
      <c r="AF31">
        <v>6.4560885616493938E-2</v>
      </c>
      <c r="AG31">
        <v>-999.25</v>
      </c>
      <c r="AH31">
        <v>-999.25</v>
      </c>
      <c r="AI31">
        <v>-999.25</v>
      </c>
      <c r="AJ31">
        <v>0.85035340385855962</v>
      </c>
      <c r="AK31">
        <v>0.7776250503405493</v>
      </c>
      <c r="AL31">
        <v>0.69727140787472985</v>
      </c>
      <c r="AM31">
        <v>-999.25</v>
      </c>
      <c r="AN31">
        <v>-999.25</v>
      </c>
      <c r="AO31">
        <v>-999.25</v>
      </c>
      <c r="AP31">
        <v>-999.25</v>
      </c>
      <c r="AQ31">
        <v>-999.25</v>
      </c>
      <c r="AR31">
        <v>-999.25</v>
      </c>
      <c r="AS31">
        <v>-999.25</v>
      </c>
      <c r="AT31">
        <v>-999.25</v>
      </c>
      <c r="AU31">
        <v>-999.25</v>
      </c>
      <c r="AV31">
        <v>-999.25</v>
      </c>
      <c r="AW31">
        <v>-999.25</v>
      </c>
      <c r="AX31">
        <v>0.1521848258020165</v>
      </c>
      <c r="AY31">
        <v>6.9789573846875619E-2</v>
      </c>
      <c r="AZ31" t="s">
        <v>79</v>
      </c>
      <c r="BA31">
        <v>0</v>
      </c>
      <c r="BB31" t="s">
        <v>93</v>
      </c>
      <c r="BC31" t="s">
        <v>96</v>
      </c>
      <c r="BD31" s="3">
        <v>45595.63921912037</v>
      </c>
    </row>
    <row r="32" spans="1:56" x14ac:dyDescent="0.25">
      <c r="A32" t="s">
        <v>105</v>
      </c>
      <c r="B32" t="s">
        <v>77</v>
      </c>
      <c r="C32" t="s">
        <v>78</v>
      </c>
      <c r="D32">
        <v>-999.25</v>
      </c>
      <c r="E32">
        <v>-999.25</v>
      </c>
      <c r="F32">
        <v>-999.25</v>
      </c>
      <c r="G32">
        <f>3686.40317380068-500</f>
        <v>3186.4031738006802</v>
      </c>
      <c r="H32">
        <f>2029.63272884493-400</f>
        <v>1629.6327288449299</v>
      </c>
      <c r="I32">
        <f>2.33958103861975-0.07</f>
        <v>2.2695810386197501</v>
      </c>
      <c r="J32">
        <f>3669.02902151041-500</f>
        <v>3169.0290215104101</v>
      </c>
      <c r="K32">
        <f>-400+2004.49095004083</f>
        <v>1604.4909500408301</v>
      </c>
      <c r="L32">
        <f>-0.07+2.33417355043168</f>
        <v>2.2641735504316802</v>
      </c>
      <c r="M32">
        <f>-500+3686.40317380068</f>
        <v>3186.4031738006802</v>
      </c>
      <c r="N32">
        <f>-400+2029.63272884493</f>
        <v>1629.6327288449299</v>
      </c>
      <c r="O32">
        <f>-0.07+2.33958103861975</f>
        <v>2.2695810386197501</v>
      </c>
      <c r="P32" t="s">
        <v>77</v>
      </c>
      <c r="Q32">
        <f>0.05+0.195286324238079</f>
        <v>0.245286324238079</v>
      </c>
      <c r="R32">
        <v>3.4359614880235798E-2</v>
      </c>
      <c r="S32">
        <v>-999.25</v>
      </c>
      <c r="T32">
        <v>-999.25</v>
      </c>
      <c r="U32">
        <v>-999.25</v>
      </c>
      <c r="V32">
        <v>-999.25</v>
      </c>
      <c r="W32">
        <v>-999.25</v>
      </c>
      <c r="X32">
        <v>-999.25</v>
      </c>
      <c r="Y32">
        <v>-999.25</v>
      </c>
      <c r="Z32">
        <v>-999.25</v>
      </c>
      <c r="AA32">
        <v>-999.25</v>
      </c>
      <c r="AB32">
        <v>-999.25</v>
      </c>
      <c r="AC32">
        <v>-999.25</v>
      </c>
      <c r="AD32">
        <v>311.26009886500577</v>
      </c>
      <c r="AE32">
        <v>201.72379413652419</v>
      </c>
      <c r="AF32">
        <v>6.1019370257368297E-2</v>
      </c>
      <c r="AG32">
        <v>-999.25</v>
      </c>
      <c r="AH32">
        <v>-999.25</v>
      </c>
      <c r="AI32">
        <v>-999.25</v>
      </c>
      <c r="AJ32">
        <v>0.15181655004613959</v>
      </c>
      <c r="AK32">
        <v>0.77426087470472604</v>
      </c>
      <c r="AL32">
        <v>9.9114296967523233E-2</v>
      </c>
      <c r="AM32">
        <v>-999.25</v>
      </c>
      <c r="AN32">
        <v>-999.25</v>
      </c>
      <c r="AO32">
        <v>-999.25</v>
      </c>
      <c r="AP32">
        <v>-999.25</v>
      </c>
      <c r="AQ32">
        <v>-999.25</v>
      </c>
      <c r="AR32">
        <v>-999.25</v>
      </c>
      <c r="AS32">
        <v>-999.25</v>
      </c>
      <c r="AT32">
        <v>-999.25</v>
      </c>
      <c r="AU32">
        <v>-999.25</v>
      </c>
      <c r="AV32">
        <v>-999.25</v>
      </c>
      <c r="AW32">
        <v>-999.25</v>
      </c>
      <c r="AX32">
        <v>0.1520491295299477</v>
      </c>
      <c r="AY32">
        <v>6.974527014263511E-2</v>
      </c>
      <c r="AZ32" t="s">
        <v>79</v>
      </c>
      <c r="BA32">
        <v>0</v>
      </c>
      <c r="BB32" t="s">
        <v>89</v>
      </c>
      <c r="BC32" t="s">
        <v>97</v>
      </c>
      <c r="BD32" s="3">
        <v>45589.461298842587</v>
      </c>
    </row>
    <row r="33" spans="1:56" x14ac:dyDescent="0.25">
      <c r="A33" t="s">
        <v>106</v>
      </c>
      <c r="B33" t="s">
        <v>77</v>
      </c>
      <c r="C33" t="s">
        <v>78</v>
      </c>
      <c r="D33">
        <v>-999.25</v>
      </c>
      <c r="E33">
        <v>-999.25</v>
      </c>
      <c r="F33">
        <v>-999.25</v>
      </c>
      <c r="G33">
        <v>3476.667198362366</v>
      </c>
      <c r="H33">
        <v>2037.302446690871</v>
      </c>
      <c r="I33">
        <v>2.311504627782254</v>
      </c>
      <c r="J33">
        <v>3451.5954651691891</v>
      </c>
      <c r="K33">
        <v>2021.5016839199741</v>
      </c>
      <c r="L33">
        <v>2.3021783525856661</v>
      </c>
      <c r="M33">
        <v>3476.667198362366</v>
      </c>
      <c r="N33">
        <v>2037.302446690871</v>
      </c>
      <c r="O33">
        <v>2.311504627782254</v>
      </c>
      <c r="P33" t="s">
        <v>77</v>
      </c>
      <c r="Q33">
        <v>0.18055903053515429</v>
      </c>
      <c r="R33">
        <v>4.1509941065484501E-2</v>
      </c>
      <c r="S33">
        <v>-999.25</v>
      </c>
      <c r="T33">
        <v>-999.25</v>
      </c>
      <c r="U33">
        <v>-999.25</v>
      </c>
      <c r="V33">
        <v>-999.25</v>
      </c>
      <c r="W33">
        <v>-999.25</v>
      </c>
      <c r="X33">
        <v>-999.25</v>
      </c>
      <c r="Y33">
        <v>-999.25</v>
      </c>
      <c r="Z33">
        <v>-999.25</v>
      </c>
      <c r="AA33">
        <v>-999.25</v>
      </c>
      <c r="AB33">
        <v>-999.25</v>
      </c>
      <c r="AC33">
        <v>-999.25</v>
      </c>
      <c r="AD33">
        <v>402.41805680489801</v>
      </c>
      <c r="AE33">
        <v>209.6153725765123</v>
      </c>
      <c r="AF33">
        <v>6.8320785669800488E-2</v>
      </c>
      <c r="AG33">
        <v>-999.25</v>
      </c>
      <c r="AH33">
        <v>-999.25</v>
      </c>
      <c r="AI33">
        <v>-999.25</v>
      </c>
      <c r="AJ33">
        <v>0.85691017506629719</v>
      </c>
      <c r="AK33">
        <v>0.8296602421145215</v>
      </c>
      <c r="AL33">
        <v>0.74785238183360403</v>
      </c>
      <c r="AM33">
        <v>-999.25</v>
      </c>
      <c r="AN33">
        <v>-999.25</v>
      </c>
      <c r="AO33">
        <v>-999.25</v>
      </c>
      <c r="AP33">
        <v>-999.25</v>
      </c>
      <c r="AQ33">
        <v>-999.25</v>
      </c>
      <c r="AR33">
        <v>-999.25</v>
      </c>
      <c r="AS33">
        <v>-999.25</v>
      </c>
      <c r="AT33">
        <v>-999.25</v>
      </c>
      <c r="AU33">
        <v>-999.25</v>
      </c>
      <c r="AV33">
        <v>-999.25</v>
      </c>
      <c r="AW33">
        <v>-999.25</v>
      </c>
      <c r="AX33">
        <v>0.15827416866297769</v>
      </c>
      <c r="AY33">
        <v>7.2063062729853855E-2</v>
      </c>
      <c r="AZ33" t="s">
        <v>79</v>
      </c>
      <c r="BA33">
        <v>0</v>
      </c>
      <c r="BB33" t="s">
        <v>93</v>
      </c>
      <c r="BC33" t="s">
        <v>98</v>
      </c>
      <c r="BD33" s="3">
        <v>45700.457540566502</v>
      </c>
    </row>
    <row r="34" spans="1:56" x14ac:dyDescent="0.25">
      <c r="A34" t="s">
        <v>107</v>
      </c>
      <c r="B34" t="s">
        <v>77</v>
      </c>
      <c r="C34" t="s">
        <v>78</v>
      </c>
      <c r="D34">
        <v>-999.25</v>
      </c>
      <c r="E34">
        <v>-999.25</v>
      </c>
      <c r="F34">
        <v>-999.25</v>
      </c>
      <c r="G34">
        <f>3476.66719836237-500</f>
        <v>2976.6671983623701</v>
      </c>
      <c r="H34">
        <f>2037.30244669087-400</f>
        <v>1637.3024466908701</v>
      </c>
      <c r="I34">
        <v>2.311504627782254</v>
      </c>
      <c r="J34">
        <f>3451.59546516919-500</f>
        <v>2951.59546516919</v>
      </c>
      <c r="K34">
        <f>-400+2021.50168391997</f>
        <v>1621.50168391997</v>
      </c>
      <c r="L34">
        <f>-0.07+2.30217835258567</f>
        <v>2.2321783525856702</v>
      </c>
      <c r="M34">
        <f>3476.66719836237-500</f>
        <v>2976.6671983623701</v>
      </c>
      <c r="N34">
        <f>-400+2037.30244669087</f>
        <v>1637.3024466908701</v>
      </c>
      <c r="O34">
        <f>-0.07+2.31150462778225</f>
        <v>2.2415046277822501</v>
      </c>
      <c r="P34" t="s">
        <v>77</v>
      </c>
      <c r="Q34">
        <f>0.05+0.180559030535154</f>
        <v>0.23055903053515403</v>
      </c>
      <c r="R34">
        <v>4.1509941065484501E-2</v>
      </c>
      <c r="S34">
        <v>-999.25</v>
      </c>
      <c r="T34">
        <v>-999.25</v>
      </c>
      <c r="U34">
        <v>-999.25</v>
      </c>
      <c r="V34">
        <v>-999.25</v>
      </c>
      <c r="W34">
        <v>-999.25</v>
      </c>
      <c r="X34">
        <v>-999.25</v>
      </c>
      <c r="Y34">
        <v>-999.25</v>
      </c>
      <c r="Z34">
        <v>-999.25</v>
      </c>
      <c r="AA34">
        <v>-999.25</v>
      </c>
      <c r="AB34">
        <v>-999.25</v>
      </c>
      <c r="AC34">
        <v>-999.25</v>
      </c>
      <c r="AD34">
        <v>402.41805680489801</v>
      </c>
      <c r="AE34">
        <v>209.6153725765123</v>
      </c>
      <c r="AF34">
        <v>6.8320785669800488E-2</v>
      </c>
      <c r="AG34">
        <v>-999.25</v>
      </c>
      <c r="AH34">
        <v>-999.25</v>
      </c>
      <c r="AI34">
        <v>-999.25</v>
      </c>
      <c r="AJ34">
        <v>0.85691017506629719</v>
      </c>
      <c r="AK34">
        <v>0.8296602421145215</v>
      </c>
      <c r="AL34">
        <v>0.74785238183360403</v>
      </c>
      <c r="AM34">
        <v>-999.25</v>
      </c>
      <c r="AN34">
        <v>-999.25</v>
      </c>
      <c r="AO34">
        <v>-999.25</v>
      </c>
      <c r="AP34">
        <v>-999.25</v>
      </c>
      <c r="AQ34">
        <v>-999.25</v>
      </c>
      <c r="AR34">
        <v>-999.25</v>
      </c>
      <c r="AS34">
        <v>-999.25</v>
      </c>
      <c r="AT34">
        <v>-999.25</v>
      </c>
      <c r="AU34">
        <v>-999.25</v>
      </c>
      <c r="AV34">
        <v>-999.25</v>
      </c>
      <c r="AW34">
        <v>-999.25</v>
      </c>
      <c r="AX34">
        <v>0.15827416866297769</v>
      </c>
      <c r="AY34">
        <v>7.2063062729853855E-2</v>
      </c>
      <c r="AZ34" t="s">
        <v>79</v>
      </c>
      <c r="BA34">
        <v>0</v>
      </c>
      <c r="BB34" t="s">
        <v>93</v>
      </c>
      <c r="BC34" t="s">
        <v>98</v>
      </c>
      <c r="BD34" s="3">
        <v>45700.457540566502</v>
      </c>
    </row>
    <row r="35" spans="1:5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2"/>
    </row>
    <row r="36" spans="1:5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2"/>
    </row>
    <row r="37" spans="1:5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2"/>
    </row>
    <row r="38" spans="1:5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2"/>
    </row>
    <row r="39" spans="1:5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2"/>
    </row>
    <row r="40" spans="1:5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2"/>
    </row>
    <row r="41" spans="1:5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2"/>
    </row>
    <row r="42" spans="1:5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2"/>
    </row>
    <row r="43" spans="1:5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2"/>
    </row>
    <row r="44" spans="1:5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2"/>
    </row>
    <row r="45" spans="1:5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2"/>
    </row>
    <row r="46" spans="1:5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2"/>
    </row>
    <row r="47" spans="1:5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2"/>
    </row>
    <row r="48" spans="1:5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2"/>
    </row>
    <row r="49" spans="1:5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2"/>
    </row>
    <row r="50" spans="1:5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2"/>
    </row>
    <row r="51" spans="1:5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2"/>
    </row>
    <row r="52" spans="1:5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2"/>
    </row>
    <row r="53" spans="1:5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2"/>
    </row>
    <row r="54" spans="1:5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2"/>
    </row>
    <row r="55" spans="1:5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2"/>
    </row>
    <row r="56" spans="1:5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2"/>
    </row>
    <row r="57" spans="1:56" ht="15.75" customHeight="1" x14ac:dyDescent="0.25">
      <c r="A57" s="1"/>
      <c r="B57" s="1"/>
      <c r="C57" s="1"/>
      <c r="D57" s="1"/>
      <c r="E57" s="1"/>
      <c r="F57" s="1"/>
      <c r="P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G57" s="1"/>
      <c r="AH57" s="1"/>
      <c r="AI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Z57" s="1"/>
      <c r="BA57" s="1"/>
      <c r="BB57" s="1"/>
      <c r="BC57" s="1"/>
      <c r="BD57" s="2"/>
    </row>
    <row r="58" spans="1:5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2"/>
    </row>
    <row r="59" spans="1:5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2"/>
    </row>
    <row r="60" spans="1:5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2"/>
    </row>
    <row r="61" spans="1:5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2"/>
    </row>
    <row r="62" spans="1:5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2"/>
    </row>
    <row r="63" spans="1:56" ht="15.75" customHeight="1" x14ac:dyDescent="0.25">
      <c r="A63" s="1"/>
      <c r="B63" s="1"/>
      <c r="C63" s="1"/>
      <c r="D63" s="1"/>
      <c r="E63" s="1"/>
      <c r="F63" s="1"/>
      <c r="P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G63" s="1"/>
      <c r="AH63" s="1"/>
      <c r="AI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Z63" s="1"/>
      <c r="BA63" s="1"/>
      <c r="BB63" s="1"/>
      <c r="BC63" s="1"/>
      <c r="BD63" s="2"/>
    </row>
    <row r="64" spans="1:5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2"/>
    </row>
    <row r="65" spans="1:56" ht="15.75" customHeight="1" x14ac:dyDescent="0.25">
      <c r="A65" s="1"/>
      <c r="B65" s="1"/>
      <c r="C65" s="1"/>
      <c r="D65" s="1"/>
      <c r="E65" s="1"/>
      <c r="F65" s="1"/>
      <c r="P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G65" s="1"/>
      <c r="AH65" s="1"/>
      <c r="AI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Z65" s="1"/>
      <c r="BA65" s="1"/>
      <c r="BB65" s="1"/>
      <c r="BC65" s="1"/>
      <c r="BD65" s="2"/>
    </row>
    <row r="66" spans="1:5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2"/>
    </row>
    <row r="67" spans="1:5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2"/>
    </row>
    <row r="68" spans="1:5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2"/>
    </row>
    <row r="69" spans="1:5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2"/>
    </row>
    <row r="70" spans="1:5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2"/>
    </row>
    <row r="71" spans="1:5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2"/>
    </row>
    <row r="72" spans="1:5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2"/>
    </row>
    <row r="73" spans="1:5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2"/>
    </row>
    <row r="74" spans="1:5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2"/>
    </row>
    <row r="75" spans="1:5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2"/>
    </row>
    <row r="76" spans="1:5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2"/>
    </row>
    <row r="77" spans="1:5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2"/>
    </row>
    <row r="78" spans="1:5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2"/>
    </row>
    <row r="79" spans="1:5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2"/>
    </row>
    <row r="80" spans="1:5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2"/>
    </row>
    <row r="81" spans="1:5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2"/>
    </row>
    <row r="82" spans="1:5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2"/>
    </row>
    <row r="83" spans="1:5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2"/>
    </row>
    <row r="84" spans="1:56" ht="15.75" customHeight="1" x14ac:dyDescent="0.25">
      <c r="A84" s="1"/>
      <c r="B84" s="1"/>
      <c r="C84" s="1"/>
      <c r="D84" s="1"/>
      <c r="E84" s="1"/>
      <c r="F84" s="1"/>
      <c r="P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G84" s="1"/>
      <c r="AH84" s="1"/>
      <c r="AI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Z84" s="1"/>
      <c r="BA84" s="1"/>
      <c r="BB84" s="1"/>
      <c r="BC84" s="1"/>
      <c r="BD84" s="2"/>
    </row>
    <row r="85" spans="1:5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2"/>
    </row>
    <row r="86" spans="1:56" ht="15.75" customHeight="1" x14ac:dyDescent="0.25">
      <c r="A86" s="1"/>
      <c r="B86" s="1"/>
      <c r="C86" s="1"/>
      <c r="D86" s="1"/>
      <c r="E86" s="1"/>
      <c r="F86" s="1"/>
      <c r="P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G86" s="1"/>
      <c r="AH86" s="1"/>
      <c r="AI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Z86" s="1"/>
      <c r="BA86" s="1"/>
      <c r="BB86" s="1"/>
      <c r="BC86" s="1"/>
      <c r="BD86" s="2"/>
    </row>
    <row r="87" spans="1:5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2"/>
    </row>
    <row r="88" spans="1:5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2"/>
    </row>
    <row r="89" spans="1:56" ht="15.75" customHeight="1" x14ac:dyDescent="0.25">
      <c r="A89" s="1"/>
      <c r="B89" s="1"/>
      <c r="C89" s="1"/>
      <c r="D89" s="1"/>
      <c r="E89" s="1"/>
      <c r="F89" s="1"/>
      <c r="P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G89" s="1"/>
      <c r="AH89" s="1"/>
      <c r="AI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Z89" s="1"/>
      <c r="BA89" s="1"/>
      <c r="BB89" s="1"/>
      <c r="BC89" s="1"/>
      <c r="BD89" s="2"/>
    </row>
    <row r="90" spans="1:5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2"/>
    </row>
    <row r="91" spans="1:5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2"/>
    </row>
    <row r="92" spans="1:56" ht="15.75" customHeight="1" x14ac:dyDescent="0.25"/>
    <row r="93" spans="1:56" ht="15.75" customHeight="1" x14ac:dyDescent="0.25"/>
    <row r="94" spans="1:56" ht="15.75" customHeight="1" x14ac:dyDescent="0.25"/>
    <row r="95" spans="1:56" ht="15.75" customHeight="1" x14ac:dyDescent="0.25"/>
    <row r="96" spans="1:5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Mårten Blixt</cp:lastModifiedBy>
  <dcterms:created xsi:type="dcterms:W3CDTF">2021-05-05T23:45:20Z</dcterms:created>
  <dcterms:modified xsi:type="dcterms:W3CDTF">2025-03-19T18:20:27Z</dcterms:modified>
</cp:coreProperties>
</file>