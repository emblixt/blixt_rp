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emb\Documents\PycharmProjects\blixt_rp\excels\"/>
    </mc:Choice>
  </mc:AlternateContent>
  <xr:revisionPtr revIDLastSave="0" documentId="13_ncr:1_{33F4F91E-B701-4092-B456-8345C338237D}" xr6:coauthVersionLast="47" xr6:coauthVersionMax="47" xr10:uidLastSave="{00000000-0000-0000-0000-000000000000}"/>
  <bookViews>
    <workbookView xWindow="30624" yWindow="0" windowWidth="30912" windowHeight="16656" tabRatio="685" activeTab="1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Fluids" sheetId="8" r:id="rId7"/>
    <sheet name="Fluid mixtures" sheetId="9" r:id="rId8"/>
    <sheet name="Minerals" sheetId="10" r:id="rId9"/>
    <sheet name="Mineral mixtures" sheetId="11" r:id="rId10"/>
    <sheet name="Prospects overview" sheetId="13" r:id="rId11"/>
    <sheet name="QSI decision table" sheetId="14" r:id="rId12"/>
    <sheet name="Utils" sheetId="12" r:id="rId13"/>
  </sheets>
  <definedNames>
    <definedName name="AvoClasses">Utils!$Q$3:$Q$7</definedName>
    <definedName name="CheckshotFormat">Utils!$M$3:$M$4</definedName>
    <definedName name="FluidNames">Fluids!$A$3:$A$8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<sst xmlns="http://schemas.openxmlformats.org/spreadsheetml/2006/main" count="919" uniqueCount="389">
  <si>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</si>
  <si>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</si>
  <si>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</si>
  <si>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</si>
  <si>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</si>
  <si>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</si>
  <si>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</si>
  <si>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</si>
  <si>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</si>
  <si>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</si>
  <si>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</si>
  <si>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</si>
  <si>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</si>
  <si>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</si>
  <si>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</si>
  <si>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</si>
  <si>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</si>
  <si>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</si>
  <si>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</si>
  <si>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</si>
  <si>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</si>
  <si>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</si>
  <si>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</si>
  <si>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</si>
  <si>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</si>
  <si>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</si>
  <si>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</si>
  <si>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</si>
  <si>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</si>
  <si>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</si>
  <si>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</si>
  <si>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</si>
  <si>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</si>
  <si>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</si>
  <si>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</si>
  <si>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</si>
  <si>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</si>
  <si>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</si>
  <si>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</si>
  <si>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</si>
  <si>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</si>
  <si>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</si>
  <si>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</si>
  <si>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</si>
  <si>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</si>
  <si>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</si>
  <si>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</si>
  <si>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</si>
  <si>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</si>
  <si>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</si>
  <si>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</si>
  <si>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</si>
  <si>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</si>
  <si>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</si>
  <si>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</si>
  <si>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</si>
  <si>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</si>
  <si>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</si>
  <si>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</si>
  <si>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</si>
  <si>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</si>
  <si>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</si>
  <si>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</si>
  <si>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</si>
  <si>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</si>
  <si>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</si>
  <si>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</si>
  <si>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</si>
  <si>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</si>
  <si>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</si>
  <si>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</si>
  <si>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</si>
  <si>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</si>
  <si>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</si>
  <si>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</si>
  <si>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</si>
  <si>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</si>
  <si>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</si>
  <si>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</si>
  <si>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</si>
  <si>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</si>
  <si>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</si>
  <si>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</si>
  <si>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</si>
  <si>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</si>
  <si>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</si>
  <si>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</si>
  <si>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</si>
  <si>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</si>
  <si>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</si>
  <si>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</si>
  <si>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</si>
  <si>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</si>
  <si>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</si>
  <si>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</si>
  <si>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</si>
  <si>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</si>
  <si>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</si>
  <si>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</si>
  <si>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</si>
  <si>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</si>
  <si>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</si>
  <si>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</si>
  <si>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</si>
  <si>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</si>
  <si>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</si>
  <si>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</si>
  <si>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</si>
  <si>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</si>
  <si>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</si>
  <si>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</si>
  <si>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</si>
  <si>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</si>
  <si>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</si>
  <si>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</si>
  <si>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</si>
  <si>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</si>
  <si>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</si>
  <si>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</si>
  <si>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</si>
  <si>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</si>
  <si>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</si>
  <si>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</si>
  <si>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</si>
  <si>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</si>
  <si>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</si>
  <si>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</si>
  <si>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</si>
  <si>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</si>
  <si>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</si>
  <si>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</si>
  <si>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</si>
  <si>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</si>
  <si>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</si>
  <si>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</si>
  <si>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</si>
  <si>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</si>
  <si>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</si>
  <si>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</si>
  <si>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</si>
  <si>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</si>
  <si>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</si>
  <si>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</si>
  <si>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</si>
  <si>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</si>
  <si>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</si>
  <si>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</si>
  <si>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</si>
  <si>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</si>
  <si>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</si>
  <si>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</si>
  <si>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</si>
  <si>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</si>
  <si>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</si>
  <si>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</si>
  <si>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</si>
  <si>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</si>
  <si>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</si>
  <si>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</si>
  <si>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</si>
  <si>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</si>
  <si>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</si>
  <si>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</si>
  <si>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</si>
  <si>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</si>
  <si>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</si>
  <si>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</si>
  <si>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</si>
  <si>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</si>
  <si>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</si>
  <si>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</si>
  <si>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</si>
  <si>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</si>
  <si>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</si>
  <si>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</si>
  <si>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</si>
  <si>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</si>
  <si>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</si>
  <si>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</si>
  <si>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</si>
  <si>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</si>
  <si>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</si>
  <si>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</si>
  <si>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</si>
  <si>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</si>
  <si>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</si>
  <si>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</si>
  <si>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</si>
  <si>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</si>
  <si>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</si>
  <si>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</si>
  <si>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$\Omega m$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</si>
  <si>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</si>
  <si>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</si>
  <si>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</si>
  <si>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</si>
  <si>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</si>
  <si>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</si>
  <si>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</si>
  <si>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</si>
  <si>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</si>
  <si>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</si>
  <si>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</si>
  <si>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</si>
  <si>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</si>
  <si>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</si>
  <si>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</si>
  <si>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</si>
  <si>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</si>
  <si>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</si>
  <si>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</si>
  <si>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</si>
  <si>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</si>
  <si>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</si>
  <si>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</si>
  <si>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</si>
  <si>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</si>
  <si>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</si>
  <si>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</si>
  <si>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</si>
  <si>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</si>
  <si>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</si>
  <si>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</si>
  <si>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</si>
  <si>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</si>
  <si>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</si>
  <si>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$\mu s/F$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</si>
  <si>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</si>
  <si>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</si>
  <si>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</si>
  <si>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</si>
  <si>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</si>
  <si>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</si>
  <si>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</si>
  <si>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</si>
  <si>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</si>
  <si>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</si>
  <si>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</si>
  <si>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</si>
  <si>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</si>
  <si>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</si>
  <si>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</si>
  <si>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</si>
  <si>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</si>
  <si>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</si>
  <si>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</si>
  <si>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</si>
  <si>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</si>
  <si>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</si>
  <si>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</si>
  <si>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</si>
  <si>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</si>
  <si>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</si>
  <si>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</si>
  <si>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</si>
  <si>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</si>
  <si>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</si>
  <si>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</si>
  <si>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</si>
  <si>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</si>
  <si>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</si>
  <si>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</si>
  <si>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</si>
  <si>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</si>
  <si>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</si>
  <si>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</si>
  <si>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</si>
  <si>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</si>
  <si>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</si>
  <si>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</si>
  <si>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</si>
  <si>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</si>
  <si>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</si>
  <si>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</si>
  <si>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</si>
  <si>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</si>
  <si>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</si>
  <si>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</si>
  <si>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</si>
  <si>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</si>
  <si>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</si>
  <si>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</si>
  <si>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</si>
  <si>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</si>
  <si>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</si>
  <si>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</si>
  <si>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</si>
  <si>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</si>
  <si>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</si>
  <si>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</si>
  <si>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</si>
  <si>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</si>
  <si>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</si>
  <si>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</si>
  <si>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VCL&gt;0.8, PHIE&lt;0.1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</si>
  <si>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</si>
  <si>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</si>
  <si>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</si>
  <si>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</si>
  <si>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</si>
  <si>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</si>
  <si>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</si>
  <si>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</si>
  <si>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</si>
  <si>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</si>
  <si>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</si>
  <si>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</si>
  <si>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</si>
  <si>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</si>
  <si>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</si>
  <si>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</si>
  <si>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</si>
  <si>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</si>
  <si>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</si>
  <si>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</si>
  <si>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</si>
  <si>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</si>
  <si>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</si>
  <si>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</si>
  <si>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</si>
  <si>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</si>
  <si>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</si>
  <si>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</si>
  <si>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</si>
  <si>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</si>
  <si>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</si>
  <si>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</si>
  <si>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</si>
  <si>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</si>
  <si>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</si>
  <si>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</si>
  <si>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</si>
  <si>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</si>
  <si>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</si>
  <si>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</si>
  <si>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</si>
  <si>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</si>
  <si>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</si>
  <si>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</si>
  <si>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</si>
  <si>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</si>
  <si>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</si>
  <si>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</si>
  <si>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</si>
  <si>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</si>
  <si>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</si>
  <si>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</si>
  <si>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</si>
  <si>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XX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</si>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</sst>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5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9" sqref="A9"/>
    </sheetView>
  </sheetViews>
  <sheetFormatPr defaultRowHeight="14.4" x14ac:dyDescent="0.3"/>
  <cols>
    <col min="1" max="1" width="5.6640625" customWidth="1"/>
    <col min="2" max="2" width="12.44140625" customWidth="1"/>
  </cols>
  <sheetData>
    <row r="1" spans="1:9" x14ac:dyDescent="0.3">
      <c r="A1" s="2" t="s">
        <v>0</v>
      </c>
      <c r="F1" t="s">
        <v>1</v>
      </c>
      <c r="G1" t="s">
        <v>1</v>
      </c>
    </row>
    <row r="2" spans="1:9" s="1" customFormat="1" ht="21.75" customHeight="1" x14ac:dyDescent="0.3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3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3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3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3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3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3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3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3">
      <c r="B10" s="13"/>
      <c r="C10" s="20" t="s">
        <v>23</v>
      </c>
      <c r="D10" t="s">
        <v>24</v>
      </c>
    </row>
    <row r="11" spans="1:9" x14ac:dyDescent="0.3">
      <c r="C11" s="21" t="s">
        <v>35</v>
      </c>
      <c r="D11" t="s">
        <v>36</v>
      </c>
    </row>
    <row r="12" spans="1:9" x14ac:dyDescent="0.3">
      <c r="C12" s="22" t="s">
        <v>37</v>
      </c>
      <c r="D12" t="s">
        <v>38</v>
      </c>
    </row>
    <row r="13" spans="1:9" x14ac:dyDescent="0.3">
      <c r="C13" s="23" t="s">
        <v>39</v>
      </c>
      <c r="D13" t="s">
        <v>40</v>
      </c>
    </row>
  </sheetData>
  <conditionalFormatting sqref="A3:A20">
    <cfRule type="cellIs" dxfId="14" priority="1" operator="equal">
      <formula>"Yes"</formula>
    </cfRule>
    <cfRule type="cellIs" dxfId="13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tabSelected="1" workbookViewId="0">
      <selection activeCell="G19" sqref="G19"/>
    </sheetView>
  </sheetViews>
  <sheetFormatPr defaultRowHeight="14.4" x14ac:dyDescent="0.3"/>
  <cols>
    <col min="1" max="2" width="9.6640625" style="13" customWidth="1"/>
    <col min="3" max="3" width="15.88671875" customWidth="1"/>
    <col min="4" max="5" width="11.5546875" customWidth="1"/>
    <col min="6" max="7" width="10" customWidth="1"/>
    <col min="11" max="11" width="16.109375" customWidth="1"/>
    <col min="13" max="13" width="7" customWidth="1"/>
    <col min="16" max="16" width="6.5546875" customWidth="1"/>
    <col min="17" max="17" width="4.6640625" customWidth="1"/>
  </cols>
  <sheetData>
    <row r="1" spans="1:18" x14ac:dyDescent="0.3">
      <c r="A1" s="11" t="s">
        <v>41</v>
      </c>
      <c r="B1" s="2" t="s">
        <v>42</v>
      </c>
    </row>
    <row r="2" spans="1:18" s="1" customFormat="1" ht="21.75" customHeight="1" x14ac:dyDescent="0.3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3">
      <c r="A3" s="13" t="s">
        <v>12</v>
      </c>
      <c r="B3" t="s">
        <v>11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3">
      <c r="A4" s="13" t="s">
        <v>12</v>
      </c>
      <c r="B4" t="s">
        <v>11</v>
      </c>
      <c r="C4" s="4" t="s">
        <v>66</v>
      </c>
      <c r="H4" t="s">
        <v>67</v>
      </c>
      <c r="N4" t="s">
        <v>68</v>
      </c>
    </row>
    <row r="5" spans="1:18" x14ac:dyDescent="0.3">
      <c r="A5" s="13" t="s">
        <v>15</v>
      </c>
      <c r="B5" t="s">
        <v>11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3">
      <c r="A6" s="13" t="s">
        <v>18</v>
      </c>
      <c r="B6" t="s">
        <v>11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3">
      <c r="A7" s="13" t="s">
        <v>22</v>
      </c>
      <c r="B7" t="s">
        <v>11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3">
      <c r="A8" s="13" t="s">
        <v>25</v>
      </c>
      <c r="B8" t="s">
        <v>11</v>
      </c>
      <c r="C8" s="4" t="s">
        <v>81</v>
      </c>
      <c r="K8" t="s">
        <v>82</v>
      </c>
      <c r="R8" t="s">
        <v>83</v>
      </c>
    </row>
    <row r="9" spans="1:18" x14ac:dyDescent="0.3">
      <c r="A9" s="13" t="s">
        <v>25</v>
      </c>
      <c r="B9" t="s">
        <v>11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3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3">
      <c r="A11" s="13" t="s">
        <v>31</v>
      </c>
      <c r="B11" t="s">
        <v>11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2" priority="1" operator="equal">
      <formula>"Yes"</formula>
    </cfRule>
    <cfRule type="cellIs" dxfId="11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4.4" x14ac:dyDescent="0.3"/>
  <cols>
    <col min="3" max="3" width="15.33203125" customWidth="1"/>
    <col min="4" max="4" width="14.5546875" customWidth="1"/>
  </cols>
  <sheetData>
    <row r="1" spans="1:13" x14ac:dyDescent="0.3">
      <c r="A1" s="11" t="s">
        <v>41</v>
      </c>
      <c r="B1" s="2" t="s">
        <v>42</v>
      </c>
      <c r="D1" s="2" t="s">
        <v>98</v>
      </c>
      <c r="F1" s="2" t="s">
        <v>382</v>
      </c>
    </row>
    <row r="2" spans="1:13" ht="28.8" x14ac:dyDescent="0.3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247</v>
      </c>
      <c r="G2" s="1" t="s">
        <v>381</v>
      </c>
      <c r="H2" s="1" t="s">
        <v>243</v>
      </c>
      <c r="I2" s="1" t="s">
        <v>249</v>
      </c>
      <c r="J2" s="1" t="s">
        <v>251</v>
      </c>
      <c r="K2" s="1" t="s">
        <v>10</v>
      </c>
      <c r="L2" s="1"/>
      <c r="M2" s="1"/>
    </row>
    <row r="3" spans="1:13" x14ac:dyDescent="0.3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383</v>
      </c>
      <c r="G3" t="s">
        <v>384</v>
      </c>
      <c r="H3" t="s">
        <v>385</v>
      </c>
    </row>
    <row r="4" spans="1:13" x14ac:dyDescent="0.3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386</v>
      </c>
      <c r="I4" t="s">
        <v>387</v>
      </c>
    </row>
    <row r="5" spans="1:13" x14ac:dyDescent="0.3">
      <c r="A5" s="13"/>
      <c r="C5" s="4"/>
    </row>
    <row r="6" spans="1:13" x14ac:dyDescent="0.3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383</v>
      </c>
      <c r="G6" t="s">
        <v>384</v>
      </c>
      <c r="H6" t="s">
        <v>385</v>
      </c>
    </row>
    <row r="7" spans="1:13" x14ac:dyDescent="0.3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386</v>
      </c>
      <c r="I7" t="s">
        <v>387</v>
      </c>
    </row>
    <row r="8" spans="1:13" x14ac:dyDescent="0.3">
      <c r="A8" s="13"/>
      <c r="C8" s="4"/>
    </row>
    <row r="9" spans="1:13" x14ac:dyDescent="0.3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383</v>
      </c>
      <c r="G9" t="s">
        <v>384</v>
      </c>
      <c r="H9" t="s">
        <v>385</v>
      </c>
    </row>
    <row r="10" spans="1:13" x14ac:dyDescent="0.3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386</v>
      </c>
      <c r="I10" t="s">
        <v>387</v>
      </c>
    </row>
    <row r="11" spans="1:13" x14ac:dyDescent="0.3">
      <c r="A11" s="13"/>
      <c r="C11" s="4"/>
    </row>
    <row r="12" spans="1:13" x14ac:dyDescent="0.3">
      <c r="A12" s="13" t="s">
        <v>22</v>
      </c>
      <c r="B12" t="s">
        <v>21</v>
      </c>
      <c r="C12" s="4"/>
    </row>
    <row r="13" spans="1:13" x14ac:dyDescent="0.3">
      <c r="A13" s="13"/>
      <c r="C13" s="4"/>
    </row>
    <row r="14" spans="1:13" x14ac:dyDescent="0.3">
      <c r="A14" s="13" t="s">
        <v>25</v>
      </c>
      <c r="B14" t="s">
        <v>21</v>
      </c>
      <c r="C14" s="4"/>
    </row>
    <row r="15" spans="1:13" x14ac:dyDescent="0.3">
      <c r="A15" s="13" t="s">
        <v>25</v>
      </c>
      <c r="B15" t="s">
        <v>21</v>
      </c>
      <c r="C15" s="4"/>
    </row>
    <row r="16" spans="1:13" x14ac:dyDescent="0.3">
      <c r="A16" s="13"/>
      <c r="C16" s="4"/>
    </row>
    <row r="17" spans="1:11" x14ac:dyDescent="0.3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383</v>
      </c>
      <c r="G17" t="s">
        <v>384</v>
      </c>
      <c r="H17" t="s">
        <v>385</v>
      </c>
      <c r="K17" t="s">
        <v>388</v>
      </c>
    </row>
    <row r="18" spans="1:11" x14ac:dyDescent="0.3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386</v>
      </c>
      <c r="I18" t="s">
        <v>387</v>
      </c>
    </row>
    <row r="19" spans="1:11" x14ac:dyDescent="0.3">
      <c r="A19" s="13"/>
      <c r="C19" s="4"/>
    </row>
    <row r="20" spans="1:11" x14ac:dyDescent="0.3">
      <c r="A20" s="13" t="s">
        <v>31</v>
      </c>
      <c r="B20" t="s">
        <v>21</v>
      </c>
      <c r="C20" s="4"/>
      <c r="D20" s="4"/>
    </row>
  </sheetData>
  <conditionalFormatting sqref="B3:B20">
    <cfRule type="cellIs" dxfId="10" priority="1" operator="equal">
      <formula>"Yes"</formula>
    </cfRule>
    <cfRule type="cellIs" dxfId="9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topLeftCell="A13" workbookViewId="0">
      <selection activeCell="Q29" sqref="Q29"/>
    </sheetView>
  </sheetViews>
  <sheetFormatPr defaultRowHeight="14.4" x14ac:dyDescent="0.3"/>
  <cols>
    <col min="1" max="1" width="11.44140625" customWidth="1"/>
    <col min="2" max="2" width="14.109375" customWidth="1"/>
    <col min="3" max="3" width="14.5546875" customWidth="1"/>
  </cols>
  <sheetData>
    <row r="1" spans="1:15" x14ac:dyDescent="0.3">
      <c r="A1" t="s">
        <v>175</v>
      </c>
    </row>
    <row r="2" spans="1:15" s="1" customFormat="1" x14ac:dyDescent="0.3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380</v>
      </c>
      <c r="O2" s="1" t="s">
        <v>189</v>
      </c>
    </row>
    <row r="3" spans="1:15" x14ac:dyDescent="0.3">
      <c r="A3" t="s">
        <v>190</v>
      </c>
      <c r="B3" t="s">
        <v>55</v>
      </c>
      <c r="C3" t="s">
        <v>191</v>
      </c>
      <c r="D3" t="s">
        <v>192</v>
      </c>
      <c r="E3" t="s">
        <v>193</v>
      </c>
      <c r="F3" s="3">
        <v>0.2</v>
      </c>
      <c r="G3" s="3">
        <v>200</v>
      </c>
      <c r="I3" t="s">
        <v>194</v>
      </c>
      <c r="K3" s="14" t="s">
        <v>13</v>
      </c>
      <c r="L3" t="s">
        <v>195</v>
      </c>
      <c r="M3">
        <v>1</v>
      </c>
    </row>
    <row r="4" spans="1:15" x14ac:dyDescent="0.3">
      <c r="B4" t="s">
        <v>45</v>
      </c>
      <c r="C4" t="s">
        <v>196</v>
      </c>
      <c r="D4" t="s">
        <v>197</v>
      </c>
      <c r="E4" t="s">
        <v>193</v>
      </c>
      <c r="F4" s="3">
        <v>3500</v>
      </c>
      <c r="G4" s="3">
        <v>4800</v>
      </c>
      <c r="I4" t="s">
        <v>194</v>
      </c>
      <c r="K4" s="15" t="s">
        <v>16</v>
      </c>
      <c r="L4" t="s">
        <v>195</v>
      </c>
      <c r="M4">
        <v>1</v>
      </c>
    </row>
    <row r="5" spans="1:15" x14ac:dyDescent="0.3">
      <c r="B5" t="s">
        <v>47</v>
      </c>
      <c r="C5" t="s">
        <v>196</v>
      </c>
      <c r="D5" t="s">
        <v>197</v>
      </c>
      <c r="E5" t="s">
        <v>193</v>
      </c>
      <c r="F5" s="3">
        <v>1800</v>
      </c>
      <c r="G5" s="3">
        <v>3000</v>
      </c>
      <c r="I5" t="s">
        <v>194</v>
      </c>
      <c r="K5" s="16" t="s">
        <v>19</v>
      </c>
      <c r="L5" t="s">
        <v>195</v>
      </c>
      <c r="M5">
        <v>1</v>
      </c>
    </row>
    <row r="6" spans="1:15" x14ac:dyDescent="0.3">
      <c r="A6" t="s">
        <v>198</v>
      </c>
      <c r="B6" t="s">
        <v>199</v>
      </c>
      <c r="C6" t="s">
        <v>200</v>
      </c>
      <c r="D6" t="s">
        <v>192</v>
      </c>
      <c r="E6" t="s">
        <v>193</v>
      </c>
      <c r="F6" s="3">
        <v>0.01</v>
      </c>
      <c r="G6" s="3">
        <v>2000</v>
      </c>
      <c r="I6" t="s">
        <v>194</v>
      </c>
      <c r="K6" s="17" t="s">
        <v>26</v>
      </c>
      <c r="L6" t="s">
        <v>195</v>
      </c>
      <c r="M6">
        <v>1</v>
      </c>
    </row>
    <row r="7" spans="1:15" x14ac:dyDescent="0.3">
      <c r="A7" t="s">
        <v>201</v>
      </c>
      <c r="B7" t="s">
        <v>202</v>
      </c>
      <c r="C7" t="s">
        <v>195</v>
      </c>
      <c r="D7" t="s">
        <v>197</v>
      </c>
      <c r="E7" t="s">
        <v>193</v>
      </c>
      <c r="F7" s="3">
        <v>1.4</v>
      </c>
      <c r="G7" s="3">
        <v>4</v>
      </c>
      <c r="I7" t="s">
        <v>194</v>
      </c>
      <c r="K7" s="18" t="s">
        <v>29</v>
      </c>
      <c r="L7" t="s">
        <v>195</v>
      </c>
      <c r="M7">
        <v>1</v>
      </c>
    </row>
    <row r="8" spans="1:15" x14ac:dyDescent="0.3">
      <c r="A8" t="s">
        <v>203</v>
      </c>
      <c r="B8" t="s">
        <v>204</v>
      </c>
      <c r="C8" t="s">
        <v>205</v>
      </c>
      <c r="D8" t="s">
        <v>197</v>
      </c>
      <c r="E8" t="s">
        <v>193</v>
      </c>
      <c r="F8" s="3">
        <v>6500</v>
      </c>
      <c r="G8" s="3">
        <v>11000</v>
      </c>
      <c r="I8" t="s">
        <v>194</v>
      </c>
      <c r="K8" s="19" t="s">
        <v>206</v>
      </c>
      <c r="L8" t="s">
        <v>195</v>
      </c>
      <c r="M8">
        <v>1</v>
      </c>
    </row>
    <row r="9" spans="1:15" x14ac:dyDescent="0.3">
      <c r="B9" t="s">
        <v>207</v>
      </c>
      <c r="C9" t="s">
        <v>208</v>
      </c>
      <c r="D9" t="s">
        <v>197</v>
      </c>
      <c r="E9" t="s">
        <v>193</v>
      </c>
      <c r="F9" s="3"/>
      <c r="G9" s="3"/>
      <c r="I9" t="s">
        <v>194</v>
      </c>
      <c r="K9" s="19" t="s">
        <v>206</v>
      </c>
      <c r="M9">
        <v>1</v>
      </c>
    </row>
    <row r="10" spans="1:15" x14ac:dyDescent="0.3">
      <c r="B10" t="s">
        <v>209</v>
      </c>
      <c r="C10" t="s">
        <v>208</v>
      </c>
      <c r="D10" t="s">
        <v>197</v>
      </c>
      <c r="E10" t="s">
        <v>193</v>
      </c>
      <c r="F10" s="3"/>
      <c r="G10" s="3"/>
      <c r="I10" t="s">
        <v>194</v>
      </c>
      <c r="K10" s="19" t="s">
        <v>206</v>
      </c>
      <c r="M10">
        <v>1</v>
      </c>
    </row>
    <row r="11" spans="1:15" x14ac:dyDescent="0.3">
      <c r="A11" t="s">
        <v>210</v>
      </c>
      <c r="B11" t="s">
        <v>52</v>
      </c>
      <c r="C11" t="s">
        <v>195</v>
      </c>
      <c r="D11" t="s">
        <v>197</v>
      </c>
      <c r="E11" t="s">
        <v>193</v>
      </c>
      <c r="F11" s="3">
        <v>0</v>
      </c>
      <c r="G11" s="3">
        <v>0.3</v>
      </c>
      <c r="I11" t="s">
        <v>194</v>
      </c>
      <c r="K11" s="20" t="s">
        <v>23</v>
      </c>
      <c r="L11" t="s">
        <v>195</v>
      </c>
      <c r="M11">
        <v>1</v>
      </c>
    </row>
    <row r="12" spans="1:15" x14ac:dyDescent="0.3">
      <c r="A12" t="s">
        <v>211</v>
      </c>
      <c r="B12" t="s">
        <v>53</v>
      </c>
      <c r="C12" t="s">
        <v>195</v>
      </c>
      <c r="D12" t="s">
        <v>197</v>
      </c>
      <c r="E12" t="s">
        <v>193</v>
      </c>
      <c r="F12" s="3">
        <v>0</v>
      </c>
      <c r="G12" s="3">
        <v>1</v>
      </c>
      <c r="I12" t="s">
        <v>194</v>
      </c>
      <c r="K12" s="26" t="s">
        <v>212</v>
      </c>
      <c r="L12" t="s">
        <v>213</v>
      </c>
      <c r="M12">
        <v>1</v>
      </c>
    </row>
    <row r="13" spans="1:15" x14ac:dyDescent="0.3">
      <c r="A13" t="s">
        <v>214</v>
      </c>
      <c r="B13" t="s">
        <v>54</v>
      </c>
      <c r="C13" t="s">
        <v>195</v>
      </c>
      <c r="D13" t="s">
        <v>197</v>
      </c>
      <c r="E13" t="s">
        <v>193</v>
      </c>
      <c r="F13" s="3">
        <v>0</v>
      </c>
      <c r="G13" s="3">
        <v>1</v>
      </c>
      <c r="I13" t="s">
        <v>194</v>
      </c>
      <c r="K13" s="22" t="s">
        <v>37</v>
      </c>
      <c r="L13" t="s">
        <v>195</v>
      </c>
      <c r="M13">
        <v>1</v>
      </c>
    </row>
    <row r="14" spans="1:15" x14ac:dyDescent="0.3">
      <c r="A14" t="s">
        <v>77</v>
      </c>
      <c r="B14" t="s">
        <v>50</v>
      </c>
      <c r="C14" t="s">
        <v>215</v>
      </c>
      <c r="D14" t="s">
        <v>197</v>
      </c>
      <c r="E14" t="s">
        <v>193</v>
      </c>
      <c r="F14" s="3">
        <v>2</v>
      </c>
      <c r="G14" s="3">
        <v>3</v>
      </c>
      <c r="I14" t="s">
        <v>194</v>
      </c>
      <c r="K14" s="23" t="s">
        <v>39</v>
      </c>
      <c r="L14" t="s">
        <v>195</v>
      </c>
      <c r="M14">
        <v>1</v>
      </c>
    </row>
    <row r="15" spans="1:15" x14ac:dyDescent="0.3">
      <c r="A15" t="s">
        <v>216</v>
      </c>
      <c r="B15" t="s">
        <v>51</v>
      </c>
      <c r="C15" t="s">
        <v>217</v>
      </c>
      <c r="D15" t="s">
        <v>197</v>
      </c>
      <c r="E15" t="s">
        <v>193</v>
      </c>
      <c r="F15" s="3">
        <v>0.45</v>
      </c>
      <c r="G15" s="3">
        <v>-0.15</v>
      </c>
      <c r="I15" t="s">
        <v>194</v>
      </c>
      <c r="K15" s="27" t="s">
        <v>218</v>
      </c>
      <c r="L15" t="s">
        <v>195</v>
      </c>
      <c r="M15">
        <v>1</v>
      </c>
    </row>
    <row r="16" spans="1:15" x14ac:dyDescent="0.3">
      <c r="A16" t="s">
        <v>219</v>
      </c>
      <c r="B16" t="s">
        <v>56</v>
      </c>
      <c r="C16" t="s">
        <v>220</v>
      </c>
      <c r="D16" t="s">
        <v>197</v>
      </c>
      <c r="E16" t="s">
        <v>193</v>
      </c>
      <c r="F16" s="3">
        <v>6</v>
      </c>
      <c r="G16" s="3">
        <v>10</v>
      </c>
      <c r="I16" t="s">
        <v>194</v>
      </c>
      <c r="K16" s="24" t="s">
        <v>221</v>
      </c>
      <c r="L16" t="s">
        <v>195</v>
      </c>
      <c r="M16">
        <v>1</v>
      </c>
    </row>
    <row r="17" spans="1:13" x14ac:dyDescent="0.3">
      <c r="A17" t="s">
        <v>222</v>
      </c>
      <c r="B17" t="s">
        <v>49</v>
      </c>
      <c r="C17" t="s">
        <v>223</v>
      </c>
      <c r="D17" t="s">
        <v>197</v>
      </c>
      <c r="E17" t="s">
        <v>193</v>
      </c>
      <c r="F17" s="3">
        <v>0</v>
      </c>
      <c r="G17" s="3">
        <v>350</v>
      </c>
      <c r="I17" t="s">
        <v>194</v>
      </c>
      <c r="K17" s="25" t="s">
        <v>224</v>
      </c>
      <c r="L17" t="s">
        <v>195</v>
      </c>
      <c r="M17">
        <v>2</v>
      </c>
    </row>
    <row r="18" spans="1:13" x14ac:dyDescent="0.3">
      <c r="A18" t="s">
        <v>225</v>
      </c>
      <c r="B18" t="s">
        <v>46</v>
      </c>
      <c r="C18" t="s">
        <v>226</v>
      </c>
      <c r="D18" t="s">
        <v>197</v>
      </c>
      <c r="E18" t="s">
        <v>193</v>
      </c>
      <c r="F18" s="3">
        <v>40</v>
      </c>
      <c r="G18" s="3">
        <v>150</v>
      </c>
      <c r="I18" t="s">
        <v>194</v>
      </c>
      <c r="K18" s="16" t="s">
        <v>19</v>
      </c>
      <c r="L18" t="s">
        <v>195</v>
      </c>
      <c r="M18">
        <v>1</v>
      </c>
    </row>
    <row r="19" spans="1:13" x14ac:dyDescent="0.3">
      <c r="A19" t="s">
        <v>227</v>
      </c>
      <c r="B19" t="s">
        <v>228</v>
      </c>
      <c r="C19" t="s">
        <v>226</v>
      </c>
      <c r="D19" t="s">
        <v>197</v>
      </c>
      <c r="E19" t="s">
        <v>193</v>
      </c>
      <c r="F19" s="3">
        <v>80</v>
      </c>
      <c r="G19" s="3">
        <v>300</v>
      </c>
      <c r="I19" t="s">
        <v>194</v>
      </c>
      <c r="K19" s="17" t="s">
        <v>26</v>
      </c>
      <c r="L19" t="s">
        <v>195</v>
      </c>
      <c r="M19">
        <v>1</v>
      </c>
    </row>
    <row r="20" spans="1:13" x14ac:dyDescent="0.3">
      <c r="A20" t="s">
        <v>229</v>
      </c>
      <c r="B20" t="s">
        <v>229</v>
      </c>
      <c r="C20" t="s">
        <v>230</v>
      </c>
      <c r="D20" t="s">
        <v>197</v>
      </c>
      <c r="E20" t="s">
        <v>193</v>
      </c>
      <c r="F20" s="3">
        <v>0</v>
      </c>
      <c r="G20" s="3">
        <v>15</v>
      </c>
      <c r="I20" t="s">
        <v>194</v>
      </c>
      <c r="K20" s="18" t="s">
        <v>29</v>
      </c>
      <c r="L20" t="s">
        <v>195</v>
      </c>
      <c r="M20">
        <v>1</v>
      </c>
    </row>
    <row r="21" spans="1:13" x14ac:dyDescent="0.3">
      <c r="A21" t="s">
        <v>231</v>
      </c>
      <c r="B21" t="s">
        <v>232</v>
      </c>
      <c r="C21" t="s">
        <v>230</v>
      </c>
      <c r="D21" t="s">
        <v>233</v>
      </c>
      <c r="E21" t="s">
        <v>193</v>
      </c>
      <c r="F21" s="3">
        <v>0</v>
      </c>
      <c r="G21" s="3">
        <v>5</v>
      </c>
      <c r="I21" t="s">
        <v>234</v>
      </c>
      <c r="J21" t="s">
        <v>235</v>
      </c>
      <c r="K21" s="19" t="s">
        <v>206</v>
      </c>
      <c r="L21" t="s">
        <v>195</v>
      </c>
      <c r="M21">
        <v>1</v>
      </c>
    </row>
    <row r="22" spans="1:13" x14ac:dyDescent="0.3">
      <c r="A22" t="s">
        <v>236</v>
      </c>
      <c r="B22" t="s">
        <v>237</v>
      </c>
      <c r="C22" t="s">
        <v>195</v>
      </c>
      <c r="D22" t="s">
        <v>197</v>
      </c>
      <c r="F22" s="3">
        <v>0</v>
      </c>
      <c r="G22" s="3">
        <v>900</v>
      </c>
      <c r="K22" s="20" t="s">
        <v>23</v>
      </c>
      <c r="L22" t="s">
        <v>195</v>
      </c>
      <c r="M22">
        <v>1</v>
      </c>
    </row>
    <row r="23" spans="1:13" x14ac:dyDescent="0.3">
      <c r="A23" t="s">
        <v>238</v>
      </c>
      <c r="B23" t="s">
        <v>239</v>
      </c>
      <c r="C23" t="s">
        <v>195</v>
      </c>
      <c r="D23" t="s">
        <v>233</v>
      </c>
      <c r="F23" s="3">
        <v>0</v>
      </c>
      <c r="G23" s="3">
        <v>0.5</v>
      </c>
      <c r="I23" t="s">
        <v>240</v>
      </c>
      <c r="J23" t="s">
        <v>241</v>
      </c>
      <c r="K23" s="21" t="s">
        <v>35</v>
      </c>
      <c r="L23" t="s">
        <v>195</v>
      </c>
      <c r="M23">
        <v>1</v>
      </c>
    </row>
    <row r="24" spans="1:13" x14ac:dyDescent="0.3">
      <c r="A24" t="s">
        <v>242</v>
      </c>
      <c r="B24" t="s">
        <v>243</v>
      </c>
      <c r="C24" t="s">
        <v>244</v>
      </c>
      <c r="D24" t="s">
        <v>197</v>
      </c>
      <c r="E24" t="s">
        <v>193</v>
      </c>
      <c r="F24" s="3"/>
      <c r="G24" s="3"/>
      <c r="I24" t="s">
        <v>194</v>
      </c>
      <c r="K24" s="22" t="s">
        <v>37</v>
      </c>
      <c r="L24" t="s">
        <v>213</v>
      </c>
      <c r="M24">
        <v>1</v>
      </c>
    </row>
    <row r="25" spans="1:13" x14ac:dyDescent="0.3">
      <c r="A25" t="s">
        <v>245</v>
      </c>
      <c r="B25" t="s">
        <v>246</v>
      </c>
      <c r="C25" t="s">
        <v>220</v>
      </c>
      <c r="D25" t="s">
        <v>197</v>
      </c>
      <c r="E25" t="s">
        <v>193</v>
      </c>
      <c r="F25" s="3">
        <v>4</v>
      </c>
      <c r="G25" s="3">
        <v>12</v>
      </c>
      <c r="I25" t="s">
        <v>194</v>
      </c>
      <c r="K25" s="24" t="s">
        <v>221</v>
      </c>
      <c r="L25" t="s">
        <v>213</v>
      </c>
      <c r="M25">
        <v>2</v>
      </c>
    </row>
    <row r="26" spans="1:13" x14ac:dyDescent="0.3">
      <c r="B26" t="s">
        <v>57</v>
      </c>
      <c r="C26" t="s">
        <v>1</v>
      </c>
      <c r="D26" t="s">
        <v>197</v>
      </c>
      <c r="E26" t="s">
        <v>193</v>
      </c>
      <c r="I26" t="s">
        <v>194</v>
      </c>
      <c r="K26" s="24" t="s">
        <v>221</v>
      </c>
    </row>
    <row r="27" spans="1:13" x14ac:dyDescent="0.3">
      <c r="B27" t="s">
        <v>381</v>
      </c>
      <c r="C27" t="s">
        <v>1</v>
      </c>
      <c r="D27" t="s">
        <v>197</v>
      </c>
      <c r="E27" t="s">
        <v>193</v>
      </c>
      <c r="I27" t="s">
        <v>194</v>
      </c>
      <c r="K27" s="36" t="s">
        <v>254</v>
      </c>
      <c r="L27" t="s">
        <v>213</v>
      </c>
      <c r="M27">
        <v>1</v>
      </c>
    </row>
    <row r="28" spans="1:13" x14ac:dyDescent="0.3">
      <c r="B28" t="s">
        <v>247</v>
      </c>
      <c r="C28" t="s">
        <v>1</v>
      </c>
      <c r="D28" t="s">
        <v>197</v>
      </c>
      <c r="E28" t="s">
        <v>193</v>
      </c>
      <c r="I28" t="s">
        <v>194</v>
      </c>
      <c r="K28" s="24" t="s">
        <v>221</v>
      </c>
      <c r="L28" t="s">
        <v>195</v>
      </c>
      <c r="M28">
        <v>1</v>
      </c>
    </row>
    <row r="29" spans="1:13" x14ac:dyDescent="0.3">
      <c r="A29" t="s">
        <v>248</v>
      </c>
      <c r="B29" t="s">
        <v>249</v>
      </c>
      <c r="C29" t="s">
        <v>17</v>
      </c>
      <c r="D29" t="s">
        <v>197</v>
      </c>
      <c r="E29" t="s">
        <v>193</v>
      </c>
      <c r="I29" t="s">
        <v>194</v>
      </c>
      <c r="K29" s="21" t="s">
        <v>35</v>
      </c>
      <c r="L29" t="s">
        <v>195</v>
      </c>
      <c r="M29">
        <v>1</v>
      </c>
    </row>
    <row r="30" spans="1:13" x14ac:dyDescent="0.3">
      <c r="A30" t="s">
        <v>250</v>
      </c>
      <c r="B30" t="s">
        <v>251</v>
      </c>
      <c r="C30" t="s">
        <v>17</v>
      </c>
      <c r="D30" t="s">
        <v>197</v>
      </c>
      <c r="E30" t="s">
        <v>193</v>
      </c>
      <c r="I30" t="s">
        <v>194</v>
      </c>
      <c r="K30" s="22" t="s">
        <v>37</v>
      </c>
      <c r="L30" t="s">
        <v>195</v>
      </c>
      <c r="M30">
        <v>1</v>
      </c>
    </row>
    <row r="31" spans="1:13" x14ac:dyDescent="0.3">
      <c r="B31" t="s">
        <v>252</v>
      </c>
      <c r="C31" t="s">
        <v>195</v>
      </c>
      <c r="D31" t="s">
        <v>197</v>
      </c>
      <c r="E31" t="s">
        <v>193</v>
      </c>
      <c r="I31" t="s">
        <v>253</v>
      </c>
      <c r="K31" s="36" t="s">
        <v>254</v>
      </c>
      <c r="L31" t="s">
        <v>195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1" sqref="F31"/>
    </sheetView>
  </sheetViews>
  <sheetFormatPr defaultRowHeight="14.4" x14ac:dyDescent="0.3"/>
  <cols>
    <col min="1" max="1" width="15" customWidth="1"/>
    <col min="6" max="6" width="15.5546875" customWidth="1"/>
  </cols>
  <sheetData>
    <row r="1" spans="1:13" x14ac:dyDescent="0.3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3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3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3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3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3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3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3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3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3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3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3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3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3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3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3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3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workbookViewId="0">
      <selection activeCell="C29" sqref="C29"/>
    </sheetView>
  </sheetViews>
  <sheetFormatPr defaultRowHeight="14.4" x14ac:dyDescent="0.3"/>
  <cols>
    <col min="3" max="3" width="16.6640625" customWidth="1"/>
  </cols>
  <sheetData>
    <row r="1" spans="1:7" x14ac:dyDescent="0.3">
      <c r="A1" t="s">
        <v>153</v>
      </c>
    </row>
    <row r="2" spans="1:7" x14ac:dyDescent="0.3">
      <c r="A2" t="s">
        <v>154</v>
      </c>
    </row>
    <row r="5" spans="1:7" s="1" customFormat="1" ht="21.75" customHeight="1" x14ac:dyDescent="0.3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3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3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3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3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3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3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3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3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3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3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3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3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3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3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3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3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3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3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3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3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3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3">
      <c r="B27" t="s">
        <v>28</v>
      </c>
      <c r="C27" t="s">
        <v>127</v>
      </c>
      <c r="D27">
        <v>1585</v>
      </c>
      <c r="E27">
        <v>1826</v>
      </c>
      <c r="F27" t="s">
        <v>159</v>
      </c>
    </row>
    <row r="28" spans="2:6" x14ac:dyDescent="0.3">
      <c r="B28" t="s">
        <v>28</v>
      </c>
      <c r="C28" t="s">
        <v>146</v>
      </c>
      <c r="D28">
        <v>1585</v>
      </c>
      <c r="E28">
        <v>1826</v>
      </c>
      <c r="F28" t="s">
        <v>159</v>
      </c>
    </row>
    <row r="29" spans="2:6" x14ac:dyDescent="0.3">
      <c r="B29" t="s">
        <v>28</v>
      </c>
      <c r="C29" t="s">
        <v>161</v>
      </c>
      <c r="D29">
        <v>1826</v>
      </c>
      <c r="E29">
        <v>1878</v>
      </c>
      <c r="F29" t="s">
        <v>159</v>
      </c>
    </row>
    <row r="30" spans="2:6" x14ac:dyDescent="0.3">
      <c r="B30" t="s">
        <v>28</v>
      </c>
      <c r="C30" t="s">
        <v>162</v>
      </c>
      <c r="D30">
        <v>1878</v>
      </c>
      <c r="E30">
        <v>1984</v>
      </c>
      <c r="F30" t="s">
        <v>159</v>
      </c>
    </row>
    <row r="31" spans="2:6" x14ac:dyDescent="0.3">
      <c r="B31" t="s">
        <v>28</v>
      </c>
      <c r="C31" t="s">
        <v>163</v>
      </c>
      <c r="D31">
        <v>1984</v>
      </c>
      <c r="E31">
        <v>2158</v>
      </c>
      <c r="F31" t="s">
        <v>159</v>
      </c>
    </row>
    <row r="32" spans="2:6" x14ac:dyDescent="0.3">
      <c r="B32" t="s">
        <v>28</v>
      </c>
      <c r="C32" t="s">
        <v>164</v>
      </c>
      <c r="D32">
        <v>2158</v>
      </c>
      <c r="E32">
        <v>2211</v>
      </c>
      <c r="F32" t="s">
        <v>159</v>
      </c>
    </row>
    <row r="33" spans="2:6" x14ac:dyDescent="0.3">
      <c r="B33" t="s">
        <v>28</v>
      </c>
      <c r="C33" t="s">
        <v>139</v>
      </c>
      <c r="D33">
        <v>2211</v>
      </c>
      <c r="E33">
        <v>2365</v>
      </c>
      <c r="F33" t="s">
        <v>159</v>
      </c>
    </row>
    <row r="34" spans="2:6" x14ac:dyDescent="0.3">
      <c r="B34" t="s">
        <v>31</v>
      </c>
      <c r="C34" s="30" t="s">
        <v>165</v>
      </c>
      <c r="D34" s="30">
        <v>867.15599999999995</v>
      </c>
      <c r="E34" s="30">
        <v>984.50400000000002</v>
      </c>
      <c r="F34" t="s">
        <v>166</v>
      </c>
    </row>
    <row r="35" spans="2:6" x14ac:dyDescent="0.3">
      <c r="B35" t="s">
        <v>31</v>
      </c>
      <c r="C35" s="30" t="s">
        <v>167</v>
      </c>
      <c r="D35" s="30">
        <v>984.50400000000002</v>
      </c>
      <c r="E35" s="30">
        <v>1136.904</v>
      </c>
      <c r="F35" t="s">
        <v>166</v>
      </c>
    </row>
    <row r="36" spans="2:6" x14ac:dyDescent="0.3">
      <c r="B36" t="s">
        <v>31</v>
      </c>
      <c r="C36" s="30" t="s">
        <v>168</v>
      </c>
      <c r="D36" s="30">
        <v>1136.904</v>
      </c>
      <c r="E36" s="30">
        <v>2251.2530000000002</v>
      </c>
      <c r="F36" t="s">
        <v>166</v>
      </c>
    </row>
    <row r="37" spans="2:6" x14ac:dyDescent="0.3">
      <c r="B37" t="s">
        <v>31</v>
      </c>
      <c r="C37" s="30" t="s">
        <v>169</v>
      </c>
      <c r="D37" s="30">
        <v>2251.2530000000002</v>
      </c>
      <c r="E37" s="30">
        <v>2469.2069999999999</v>
      </c>
      <c r="F37" t="s">
        <v>166</v>
      </c>
    </row>
    <row r="38" spans="2:6" x14ac:dyDescent="0.3">
      <c r="B38" t="s">
        <v>31</v>
      </c>
      <c r="C38" s="30" t="s">
        <v>170</v>
      </c>
      <c r="D38" s="30">
        <v>2469.2069999999999</v>
      </c>
      <c r="E38" s="30">
        <v>3190.6460000000002</v>
      </c>
      <c r="F38" t="s">
        <v>166</v>
      </c>
    </row>
    <row r="39" spans="2:6" x14ac:dyDescent="0.3">
      <c r="B39" t="s">
        <v>31</v>
      </c>
      <c r="C39" s="30" t="s">
        <v>171</v>
      </c>
      <c r="D39" s="30">
        <v>3190.6460000000002</v>
      </c>
      <c r="E39" s="30">
        <v>3404.3110000000001</v>
      </c>
      <c r="F39" t="s">
        <v>166</v>
      </c>
    </row>
    <row r="40" spans="2:6" x14ac:dyDescent="0.3">
      <c r="B40" t="s">
        <v>31</v>
      </c>
      <c r="C40" s="30" t="s">
        <v>172</v>
      </c>
      <c r="D40" s="30">
        <v>3404.3110000000001</v>
      </c>
      <c r="E40" s="30">
        <v>3485.0830000000001</v>
      </c>
      <c r="F40" t="s">
        <v>166</v>
      </c>
    </row>
    <row r="41" spans="2:6" x14ac:dyDescent="0.3">
      <c r="B41" t="s">
        <v>31</v>
      </c>
      <c r="C41" s="30" t="s">
        <v>173</v>
      </c>
      <c r="D41" s="30">
        <v>3485.0830000000001</v>
      </c>
      <c r="E41" s="30">
        <v>3964.5340000000001</v>
      </c>
      <c r="F41" t="s">
        <v>166</v>
      </c>
    </row>
    <row r="42" spans="2:6" x14ac:dyDescent="0.3">
      <c r="B42" t="s">
        <v>31</v>
      </c>
      <c r="C42" s="30" t="s">
        <v>174</v>
      </c>
      <c r="D42" s="30">
        <v>3964.5340000000001</v>
      </c>
      <c r="E42" s="30">
        <v>4200</v>
      </c>
      <c r="F42" t="s">
        <v>166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O4" sqref="O4"/>
    </sheetView>
  </sheetViews>
  <sheetFormatPr defaultRowHeight="14.4" x14ac:dyDescent="0.3"/>
  <cols>
    <col min="1" max="1" width="8.5546875" customWidth="1"/>
    <col min="2" max="2" width="12" customWidth="1"/>
    <col min="3" max="3" width="12.88671875" customWidth="1"/>
    <col min="4" max="4" width="10" customWidth="1"/>
    <col min="6" max="6" width="6.6640625" customWidth="1"/>
    <col min="7" max="7" width="6.5546875" customWidth="1"/>
    <col min="8" max="8" width="8.33203125" customWidth="1"/>
    <col min="9" max="9" width="5.5546875" customWidth="1"/>
    <col min="10" max="10" width="6.5546875" customWidth="1"/>
    <col min="11" max="11" width="6.109375" customWidth="1"/>
    <col min="12" max="12" width="5.109375" customWidth="1"/>
    <col min="13" max="13" width="5.5546875" customWidth="1"/>
    <col min="14" max="14" width="5.109375" customWidth="1"/>
    <col min="15" max="15" width="4.44140625" customWidth="1"/>
  </cols>
  <sheetData>
    <row r="1" spans="1:15" x14ac:dyDescent="0.3">
      <c r="A1" s="2" t="s">
        <v>255</v>
      </c>
      <c r="E1" s="7" t="s">
        <v>256</v>
      </c>
    </row>
    <row r="2" spans="1:15" s="8" customFormat="1" ht="30" customHeight="1" thickBot="1" x14ac:dyDescent="0.35">
      <c r="A2" s="8" t="s">
        <v>257</v>
      </c>
      <c r="B2" s="9" t="s">
        <v>258</v>
      </c>
      <c r="C2" s="9" t="s">
        <v>259</v>
      </c>
      <c r="D2" s="9" t="s">
        <v>260</v>
      </c>
      <c r="E2" s="8" t="s">
        <v>261</v>
      </c>
      <c r="F2" s="8" t="s">
        <v>262</v>
      </c>
      <c r="G2" s="8" t="s">
        <v>263</v>
      </c>
      <c r="H2" s="8" t="s">
        <v>264</v>
      </c>
      <c r="I2" s="8" t="s">
        <v>265</v>
      </c>
      <c r="J2" s="8" t="s">
        <v>266</v>
      </c>
      <c r="K2" s="8" t="s">
        <v>267</v>
      </c>
      <c r="L2" s="8" t="s">
        <v>268</v>
      </c>
      <c r="M2" s="8" t="s">
        <v>269</v>
      </c>
      <c r="N2" s="8" t="s">
        <v>270</v>
      </c>
      <c r="O2" s="8" t="s">
        <v>271</v>
      </c>
    </row>
    <row r="3" spans="1:15" x14ac:dyDescent="0.3">
      <c r="A3" t="s">
        <v>272</v>
      </c>
      <c r="B3" s="3"/>
      <c r="C3" s="3"/>
      <c r="E3" t="s">
        <v>273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274</v>
      </c>
      <c r="O3">
        <v>2</v>
      </c>
    </row>
    <row r="4" spans="1:15" x14ac:dyDescent="0.3">
      <c r="A4" t="s">
        <v>275</v>
      </c>
      <c r="B4" s="3">
        <v>2.68</v>
      </c>
      <c r="C4" s="3"/>
      <c r="D4">
        <v>1.0229999999999999</v>
      </c>
      <c r="E4" t="s">
        <v>276</v>
      </c>
    </row>
    <row r="5" spans="1:15" x14ac:dyDescent="0.3">
      <c r="B5" s="3"/>
      <c r="C5" s="3"/>
    </row>
    <row r="6" spans="1:15" x14ac:dyDescent="0.3">
      <c r="B6" s="3"/>
      <c r="C6" s="3"/>
    </row>
    <row r="7" spans="1:15" x14ac:dyDescent="0.3">
      <c r="B7" s="3"/>
      <c r="C7" s="3"/>
    </row>
    <row r="8" spans="1:15" x14ac:dyDescent="0.3">
      <c r="B8" s="3"/>
      <c r="C8" s="3"/>
    </row>
  </sheetData>
  <conditionalFormatting sqref="A3:A28">
    <cfRule type="duplicateValues" dxfId="8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pane ySplit="2" topLeftCell="A3" activePane="bottomLeft" state="frozen"/>
      <selection pane="bottomLeft" activeCell="A7" sqref="A7"/>
    </sheetView>
  </sheetViews>
  <sheetFormatPr defaultRowHeight="14.4" x14ac:dyDescent="0.3"/>
  <cols>
    <col min="2" max="4" width="10.33203125" customWidth="1"/>
    <col min="5" max="6" width="8.5546875" customWidth="1"/>
  </cols>
  <sheetData>
    <row r="1" spans="1:8" x14ac:dyDescent="0.3">
      <c r="A1" s="2" t="s">
        <v>0</v>
      </c>
      <c r="G1" s="7" t="s">
        <v>277</v>
      </c>
    </row>
    <row r="2" spans="1:8" s="8" customFormat="1" ht="30" customHeight="1" thickBot="1" x14ac:dyDescent="0.35">
      <c r="A2" s="1" t="s">
        <v>2</v>
      </c>
      <c r="B2" s="9" t="s">
        <v>278</v>
      </c>
      <c r="C2" s="9" t="s">
        <v>279</v>
      </c>
      <c r="D2" s="9" t="s">
        <v>116</v>
      </c>
      <c r="E2" s="9" t="s">
        <v>280</v>
      </c>
      <c r="F2" s="8" t="s">
        <v>281</v>
      </c>
      <c r="G2" s="9" t="s">
        <v>282</v>
      </c>
      <c r="H2" s="8" t="s">
        <v>346</v>
      </c>
    </row>
    <row r="3" spans="1:8" ht="15.75" customHeight="1" thickBot="1" x14ac:dyDescent="0.35">
      <c r="A3" s="31" t="s">
        <v>21</v>
      </c>
      <c r="B3" s="31"/>
      <c r="C3" s="31"/>
      <c r="D3" s="31"/>
      <c r="E3" s="31" t="s">
        <v>272</v>
      </c>
      <c r="F3" s="31" t="s">
        <v>275</v>
      </c>
      <c r="G3" s="32"/>
    </row>
    <row r="4" spans="1:8" x14ac:dyDescent="0.3">
      <c r="A4" t="s">
        <v>21</v>
      </c>
      <c r="B4" t="s">
        <v>283</v>
      </c>
      <c r="C4" t="s">
        <v>28</v>
      </c>
      <c r="D4" t="s">
        <v>162</v>
      </c>
      <c r="E4" t="s">
        <v>272</v>
      </c>
      <c r="F4" t="s">
        <v>284</v>
      </c>
      <c r="G4" t="s">
        <v>285</v>
      </c>
      <c r="H4" t="s">
        <v>347</v>
      </c>
    </row>
    <row r="5" spans="1:8" x14ac:dyDescent="0.3">
      <c r="A5" t="s">
        <v>21</v>
      </c>
      <c r="B5" t="s">
        <v>283</v>
      </c>
      <c r="C5" t="s">
        <v>28</v>
      </c>
      <c r="D5" t="s">
        <v>162</v>
      </c>
      <c r="E5" t="s">
        <v>272</v>
      </c>
      <c r="F5" t="s">
        <v>275</v>
      </c>
      <c r="G5" t="s">
        <v>87</v>
      </c>
      <c r="H5" t="s">
        <v>347</v>
      </c>
    </row>
    <row r="6" spans="1:8" ht="15.75" customHeight="1" thickBot="1" x14ac:dyDescent="0.35">
      <c r="A6" s="31" t="s">
        <v>21</v>
      </c>
      <c r="B6" s="31" t="s">
        <v>286</v>
      </c>
      <c r="C6" s="31" t="s">
        <v>28</v>
      </c>
      <c r="D6" s="31" t="s">
        <v>162</v>
      </c>
      <c r="E6" s="31" t="s">
        <v>275</v>
      </c>
      <c r="F6" s="31"/>
      <c r="G6" s="31">
        <v>1</v>
      </c>
      <c r="H6" t="s">
        <v>347</v>
      </c>
    </row>
    <row r="7" spans="1:8" x14ac:dyDescent="0.3">
      <c r="A7" t="s">
        <v>11</v>
      </c>
      <c r="B7" t="s">
        <v>283</v>
      </c>
      <c r="C7" t="s">
        <v>28</v>
      </c>
      <c r="D7" t="s">
        <v>162</v>
      </c>
      <c r="E7" t="s">
        <v>272</v>
      </c>
      <c r="F7" t="s">
        <v>284</v>
      </c>
      <c r="G7" t="s">
        <v>285</v>
      </c>
      <c r="H7" t="s">
        <v>348</v>
      </c>
    </row>
    <row r="8" spans="1:8" x14ac:dyDescent="0.3">
      <c r="A8" t="s">
        <v>11</v>
      </c>
      <c r="B8" t="s">
        <v>283</v>
      </c>
      <c r="C8" t="s">
        <v>28</v>
      </c>
      <c r="D8" t="s">
        <v>162</v>
      </c>
      <c r="E8" t="s">
        <v>272</v>
      </c>
      <c r="F8" t="s">
        <v>275</v>
      </c>
      <c r="G8">
        <v>0.2</v>
      </c>
      <c r="H8" t="s">
        <v>348</v>
      </c>
    </row>
    <row r="9" spans="1:8" ht="15" thickBot="1" x14ac:dyDescent="0.35">
      <c r="A9" s="31" t="s">
        <v>11</v>
      </c>
      <c r="B9" s="31" t="s">
        <v>286</v>
      </c>
      <c r="C9" s="31" t="s">
        <v>28</v>
      </c>
      <c r="D9" s="31" t="s">
        <v>162</v>
      </c>
      <c r="E9" s="31" t="s">
        <v>275</v>
      </c>
      <c r="F9" s="31"/>
      <c r="G9" s="31">
        <v>1</v>
      </c>
      <c r="H9" t="s">
        <v>348</v>
      </c>
    </row>
    <row r="21" spans="8:8" x14ac:dyDescent="0.3">
      <c r="H21" t="s">
        <v>287</v>
      </c>
    </row>
  </sheetData>
  <conditionalFormatting sqref="A3:A32">
    <cfRule type="cellIs" dxfId="7" priority="1" operator="equal">
      <formula>"Yes"</formula>
    </cfRule>
    <cfRule type="cellIs" dxfId="6" priority="2" operator="equal">
      <formula>"No"</formula>
    </cfRule>
  </conditionalFormatting>
  <conditionalFormatting sqref="B3:D15">
    <cfRule type="cellIs" dxfId="5" priority="3" operator="equal">
      <formula>"Initial"</formula>
    </cfRule>
  </conditionalFormatting>
  <conditionalFormatting sqref="B3:D17">
    <cfRule type="cellIs" dxfId="4" priority="4" operator="equal">
      <formula>"Inital"</formula>
    </cfRule>
    <cfRule type="cellIs" dxfId="3" priority="5" operator="equal">
      <formula>"Final"</formula>
    </cfRule>
  </conditionalFormatting>
  <dataValidations count="3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15" sqref="G15"/>
    </sheetView>
  </sheetViews>
  <sheetFormatPr defaultRowHeight="14.4" x14ac:dyDescent="0.3"/>
  <cols>
    <col min="1" max="1" width="17.44140625" customWidth="1"/>
    <col min="6" max="6" width="18" customWidth="1"/>
  </cols>
  <sheetData>
    <row r="1" spans="1:7" ht="26.25" customHeight="1" x14ac:dyDescent="0.3">
      <c r="F1" s="7" t="s">
        <v>288</v>
      </c>
    </row>
    <row r="2" spans="1:7" s="8" customFormat="1" ht="30.75" customHeight="1" thickBot="1" x14ac:dyDescent="0.35">
      <c r="A2" s="33" t="s">
        <v>257</v>
      </c>
      <c r="B2" s="34" t="s">
        <v>258</v>
      </c>
      <c r="C2" s="34" t="s">
        <v>259</v>
      </c>
      <c r="D2" s="34" t="s">
        <v>260</v>
      </c>
      <c r="E2" s="33" t="s">
        <v>289</v>
      </c>
      <c r="F2" s="33" t="s">
        <v>261</v>
      </c>
      <c r="G2" s="33" t="s">
        <v>290</v>
      </c>
    </row>
    <row r="3" spans="1:7" ht="30" customHeight="1" x14ac:dyDescent="0.3">
      <c r="A3" t="s">
        <v>291</v>
      </c>
      <c r="B3">
        <v>36.6</v>
      </c>
      <c r="C3">
        <v>45</v>
      </c>
      <c r="D3">
        <v>2.65</v>
      </c>
      <c r="E3">
        <v>0</v>
      </c>
    </row>
    <row r="4" spans="1:7" x14ac:dyDescent="0.3">
      <c r="A4" t="s">
        <v>292</v>
      </c>
      <c r="B4">
        <v>11.4</v>
      </c>
      <c r="C4">
        <v>3</v>
      </c>
      <c r="D4">
        <v>2.35</v>
      </c>
      <c r="E4">
        <v>0</v>
      </c>
      <c r="F4" t="s">
        <v>293</v>
      </c>
      <c r="G4" t="s">
        <v>294</v>
      </c>
    </row>
    <row r="5" spans="1:7" x14ac:dyDescent="0.3">
      <c r="A5" t="s">
        <v>295</v>
      </c>
      <c r="B5">
        <v>76.8</v>
      </c>
      <c r="C5">
        <v>32</v>
      </c>
      <c r="D5">
        <v>2.71</v>
      </c>
      <c r="E5">
        <v>0</v>
      </c>
    </row>
    <row r="6" spans="1:7" x14ac:dyDescent="0.3">
      <c r="A6" t="s">
        <v>296</v>
      </c>
      <c r="B6">
        <v>94.9</v>
      </c>
      <c r="C6">
        <v>45</v>
      </c>
      <c r="D6">
        <v>2.87</v>
      </c>
      <c r="E6">
        <v>0</v>
      </c>
    </row>
    <row r="7" spans="1:7" x14ac:dyDescent="0.3">
      <c r="A7" t="s">
        <v>297</v>
      </c>
      <c r="B7">
        <v>26</v>
      </c>
      <c r="C7">
        <v>32</v>
      </c>
      <c r="D7">
        <v>2.35</v>
      </c>
      <c r="E7">
        <v>0</v>
      </c>
    </row>
    <row r="8" spans="1:7" x14ac:dyDescent="0.3">
      <c r="A8" t="s">
        <v>298</v>
      </c>
      <c r="B8">
        <v>47</v>
      </c>
      <c r="C8">
        <v>39</v>
      </c>
      <c r="D8">
        <v>2.94</v>
      </c>
      <c r="E8">
        <v>0</v>
      </c>
    </row>
    <row r="9" spans="1:7" x14ac:dyDescent="0.3">
      <c r="A9" t="s">
        <v>299</v>
      </c>
      <c r="B9">
        <v>114</v>
      </c>
      <c r="C9">
        <v>68</v>
      </c>
      <c r="D9">
        <v>3.01</v>
      </c>
      <c r="E9">
        <v>0</v>
      </c>
    </row>
    <row r="10" spans="1:7" x14ac:dyDescent="0.3">
      <c r="A10" t="s">
        <v>300</v>
      </c>
      <c r="B10">
        <v>55</v>
      </c>
      <c r="C10">
        <v>28</v>
      </c>
      <c r="D10">
        <v>2.62</v>
      </c>
      <c r="E10">
        <v>0</v>
      </c>
    </row>
    <row r="11" spans="1:7" x14ac:dyDescent="0.3">
      <c r="A11" t="s">
        <v>301</v>
      </c>
      <c r="B11">
        <v>48</v>
      </c>
      <c r="C11">
        <v>24</v>
      </c>
      <c r="D11">
        <v>2.56</v>
      </c>
      <c r="E11">
        <v>0</v>
      </c>
    </row>
    <row r="12" spans="1:7" x14ac:dyDescent="0.3">
      <c r="A12" t="s">
        <v>302</v>
      </c>
      <c r="B12">
        <v>85</v>
      </c>
      <c r="C12">
        <v>38</v>
      </c>
      <c r="D12">
        <v>2.73</v>
      </c>
      <c r="E12">
        <v>0</v>
      </c>
    </row>
    <row r="13" spans="1:7" x14ac:dyDescent="0.3">
      <c r="A13" t="s">
        <v>303</v>
      </c>
      <c r="B13">
        <v>52</v>
      </c>
      <c r="C13">
        <v>31.5</v>
      </c>
      <c r="D13">
        <v>2.82</v>
      </c>
      <c r="E13">
        <v>270</v>
      </c>
    </row>
    <row r="14" spans="1:7" x14ac:dyDescent="0.3">
      <c r="A14" t="s">
        <v>304</v>
      </c>
      <c r="B14">
        <v>50</v>
      </c>
      <c r="C14">
        <v>27.5</v>
      </c>
      <c r="D14">
        <v>3</v>
      </c>
      <c r="E14">
        <v>275</v>
      </c>
    </row>
    <row r="15" spans="1:7" x14ac:dyDescent="0.3">
      <c r="A15" t="s">
        <v>305</v>
      </c>
      <c r="B15">
        <v>25.2</v>
      </c>
      <c r="C15">
        <v>15.3</v>
      </c>
      <c r="D15">
        <v>2.16</v>
      </c>
      <c r="E15">
        <v>0</v>
      </c>
    </row>
    <row r="16" spans="1:7" x14ac:dyDescent="0.3">
      <c r="A16" t="s">
        <v>306</v>
      </c>
      <c r="B16">
        <v>66.5</v>
      </c>
      <c r="C16">
        <v>34</v>
      </c>
      <c r="D16">
        <v>3</v>
      </c>
      <c r="E16">
        <v>0</v>
      </c>
    </row>
    <row r="17" spans="1:5" x14ac:dyDescent="0.3">
      <c r="A17" t="s">
        <v>307</v>
      </c>
      <c r="B17">
        <v>58</v>
      </c>
      <c r="C17">
        <v>30</v>
      </c>
      <c r="D17">
        <v>2.31</v>
      </c>
      <c r="E17">
        <v>0</v>
      </c>
    </row>
    <row r="18" spans="1:5" x14ac:dyDescent="0.3">
      <c r="A18" t="s">
        <v>308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3">
      <c r="A19" t="s">
        <v>309</v>
      </c>
      <c r="B19">
        <v>27</v>
      </c>
      <c r="C19">
        <v>17</v>
      </c>
      <c r="D19">
        <v>2.68</v>
      </c>
      <c r="E19">
        <v>0</v>
      </c>
    </row>
    <row r="20" spans="1:5" x14ac:dyDescent="0.3">
      <c r="A20" t="s">
        <v>310</v>
      </c>
      <c r="B20">
        <v>123.7</v>
      </c>
      <c r="C20">
        <v>51</v>
      </c>
      <c r="D20">
        <v>3.96</v>
      </c>
      <c r="E20">
        <v>0</v>
      </c>
    </row>
    <row r="21" spans="1:5" x14ac:dyDescent="0.3">
      <c r="A21" t="s">
        <v>311</v>
      </c>
      <c r="B21">
        <v>15</v>
      </c>
      <c r="C21">
        <v>10</v>
      </c>
      <c r="D21">
        <v>2.67</v>
      </c>
      <c r="E21">
        <v>85</v>
      </c>
    </row>
    <row r="22" spans="1:5" x14ac:dyDescent="0.3">
      <c r="A22" t="s">
        <v>312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3">
      <c r="A23" t="s">
        <v>313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3">
      <c r="A24" t="s">
        <v>314</v>
      </c>
      <c r="B24">
        <v>87</v>
      </c>
      <c r="C24">
        <v>43</v>
      </c>
      <c r="D24">
        <v>3.12</v>
      </c>
      <c r="E24">
        <v>0</v>
      </c>
    </row>
    <row r="25" spans="1:5" x14ac:dyDescent="0.3">
      <c r="A25" t="s">
        <v>315</v>
      </c>
      <c r="B25">
        <v>103.67</v>
      </c>
      <c r="C25">
        <v>60.82</v>
      </c>
      <c r="D25">
        <v>3.32</v>
      </c>
      <c r="E25">
        <v>0</v>
      </c>
    </row>
    <row r="26" spans="1:5" x14ac:dyDescent="0.3">
      <c r="A26" t="s">
        <v>316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3">
      <c r="A27" t="s">
        <v>317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3">
      <c r="A28" t="s">
        <v>318</v>
      </c>
      <c r="B28">
        <v>160.29</v>
      </c>
      <c r="C28">
        <v>91.38</v>
      </c>
      <c r="D28">
        <v>5.18</v>
      </c>
      <c r="E28">
        <v>0</v>
      </c>
    </row>
    <row r="29" spans="1:5" x14ac:dyDescent="0.3">
      <c r="A29" t="s">
        <v>319</v>
      </c>
      <c r="B29">
        <v>62.2</v>
      </c>
      <c r="C29">
        <v>25.7</v>
      </c>
      <c r="D29">
        <v>2.71</v>
      </c>
      <c r="E29">
        <v>275</v>
      </c>
    </row>
    <row r="30" spans="1:5" x14ac:dyDescent="0.3">
      <c r="A30" t="s">
        <v>320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3">
      <c r="A31" t="s">
        <v>321</v>
      </c>
      <c r="B31">
        <v>48.35</v>
      </c>
      <c r="C31">
        <v>21.9</v>
      </c>
      <c r="D31">
        <v>2.44</v>
      </c>
      <c r="E31">
        <v>110</v>
      </c>
    </row>
    <row r="32" spans="1:5" x14ac:dyDescent="0.3">
      <c r="A32" t="s">
        <v>322</v>
      </c>
      <c r="B32">
        <v>2.9</v>
      </c>
      <c r="C32">
        <v>2.7</v>
      </c>
      <c r="D32">
        <v>1.3</v>
      </c>
      <c r="E32">
        <v>0</v>
      </c>
    </row>
    <row r="33" spans="1:5" x14ac:dyDescent="0.3">
      <c r="A33" t="s">
        <v>323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"/>
  <sheetViews>
    <sheetView workbookViewId="0">
      <pane ySplit="2" topLeftCell="A3" activePane="bottomLeft" state="frozen"/>
      <selection pane="bottomLeft" activeCell="F31" sqref="F31"/>
    </sheetView>
  </sheetViews>
  <sheetFormatPr defaultRowHeight="14.4" x14ac:dyDescent="0.3"/>
  <cols>
    <col min="1" max="2" width="10.33203125" customWidth="1"/>
    <col min="3" max="3" width="17.44140625" customWidth="1"/>
    <col min="4" max="4" width="12" customWidth="1"/>
  </cols>
  <sheetData>
    <row r="1" spans="1:4" ht="26.25" customHeight="1" x14ac:dyDescent="0.3">
      <c r="D1" s="5" t="s">
        <v>324</v>
      </c>
    </row>
    <row r="2" spans="1:4" s="8" customFormat="1" ht="30.75" customHeight="1" thickBot="1" x14ac:dyDescent="0.35">
      <c r="A2" s="9" t="s">
        <v>279</v>
      </c>
      <c r="B2" s="9" t="s">
        <v>116</v>
      </c>
      <c r="C2" s="8" t="s">
        <v>325</v>
      </c>
      <c r="D2" s="10" t="s">
        <v>282</v>
      </c>
    </row>
    <row r="3" spans="1:4" ht="30" customHeight="1" x14ac:dyDescent="0.3">
      <c r="A3" t="s">
        <v>28</v>
      </c>
      <c r="B3" t="s">
        <v>162</v>
      </c>
      <c r="C3" t="s">
        <v>291</v>
      </c>
      <c r="D3" s="6" t="s">
        <v>285</v>
      </c>
    </row>
    <row r="4" spans="1:4" x14ac:dyDescent="0.3">
      <c r="A4" t="s">
        <v>28</v>
      </c>
      <c r="B4" t="s">
        <v>162</v>
      </c>
      <c r="C4" t="s">
        <v>292</v>
      </c>
      <c r="D4" t="s">
        <v>64</v>
      </c>
    </row>
  </sheetData>
  <conditionalFormatting sqref="A3:C15 D5:D6">
    <cfRule type="cellIs" dxfId="2" priority="1" operator="equal">
      <formula>"Initial"</formula>
    </cfRule>
  </conditionalFormatting>
  <conditionalFormatting sqref="A3:C17 D5:D6">
    <cfRule type="cellIs" dxfId="1" priority="2" operator="equal">
      <formula>"Inital"</formula>
    </cfRule>
    <cfRule type="cellIs" dxfId="0" priority="3" operator="equal">
      <formula>"Final"</formula>
    </cfRule>
  </conditionalFormatting>
  <dataValidations count="3">
    <dataValidation type="list" showInputMessage="1" showErrorMessage="1" prompt="Select well name from &quot;Well settings&quot; sheet " sqref="A3:A38" xr:uid="{00000000-0002-0000-0A00-000000000000}">
      <formula1>WellNames</formula1>
    </dataValidation>
    <dataValidation type="list" showInputMessage="1" showErrorMessage="1" prompt="Select Mineral from &quot;Minerals&quot; sheet" sqref="C3:C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D3:D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4.4" x14ac:dyDescent="0.3"/>
  <sheetData>
    <row r="1" spans="1:17" x14ac:dyDescent="0.3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373</v>
      </c>
      <c r="M1" s="2" t="s">
        <v>373</v>
      </c>
      <c r="O1" s="2"/>
    </row>
    <row r="2" spans="1:17" x14ac:dyDescent="0.3">
      <c r="A2" s="1" t="s">
        <v>374</v>
      </c>
      <c r="B2" s="1" t="s">
        <v>363</v>
      </c>
      <c r="C2" s="1" t="s">
        <v>370</v>
      </c>
      <c r="D2" s="1" t="s">
        <v>371</v>
      </c>
      <c r="E2" s="1" t="s">
        <v>372</v>
      </c>
      <c r="F2" s="1" t="s">
        <v>364</v>
      </c>
      <c r="G2" s="1" t="s">
        <v>365</v>
      </c>
      <c r="H2" s="1" t="s">
        <v>366</v>
      </c>
      <c r="I2" s="1" t="s">
        <v>157</v>
      </c>
      <c r="J2" s="1" t="s">
        <v>367</v>
      </c>
      <c r="K2" s="1" t="s">
        <v>368</v>
      </c>
      <c r="L2" s="1" t="s">
        <v>369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4.4" x14ac:dyDescent="0.3"/>
  <sheetData>
    <row r="1" spans="1:13" x14ac:dyDescent="0.3">
      <c r="A1" s="2"/>
      <c r="B1" s="2" t="s">
        <v>379</v>
      </c>
      <c r="C1" s="2"/>
      <c r="D1" s="2"/>
      <c r="E1" s="2"/>
      <c r="F1" s="2"/>
      <c r="G1" s="2"/>
      <c r="I1" s="2"/>
      <c r="K1" s="2"/>
    </row>
    <row r="2" spans="1:13" x14ac:dyDescent="0.3">
      <c r="A2" s="1" t="s">
        <v>375</v>
      </c>
      <c r="B2" s="1" t="s">
        <v>99</v>
      </c>
      <c r="C2" s="1" t="s">
        <v>349</v>
      </c>
      <c r="D2" s="1" t="s">
        <v>376</v>
      </c>
      <c r="E2" s="1" t="s">
        <v>377</v>
      </c>
      <c r="F2" s="1" t="s">
        <v>378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I3" sqref="I3:I18"/>
    </sheetView>
  </sheetViews>
  <sheetFormatPr defaultRowHeight="14.4" x14ac:dyDescent="0.3"/>
  <cols>
    <col min="2" max="2" width="16.33203125" customWidth="1"/>
    <col min="3" max="3" width="12.33203125" customWidth="1"/>
    <col min="4" max="4" width="9.88671875" customWidth="1"/>
  </cols>
  <sheetData>
    <row r="1" spans="1:17" x14ac:dyDescent="0.3">
      <c r="H1" s="2" t="s">
        <v>362</v>
      </c>
    </row>
    <row r="2" spans="1:17" s="6" customFormat="1" ht="42.75" customHeight="1" x14ac:dyDescent="0.3">
      <c r="B2" s="6" t="s">
        <v>326</v>
      </c>
      <c r="C2" s="6" t="s">
        <v>270</v>
      </c>
      <c r="D2" s="6" t="s">
        <v>278</v>
      </c>
      <c r="E2" t="s">
        <v>327</v>
      </c>
      <c r="F2" s="6" t="s">
        <v>328</v>
      </c>
      <c r="G2" s="6" t="s">
        <v>329</v>
      </c>
      <c r="H2" s="1" t="s">
        <v>116</v>
      </c>
      <c r="I2" t="s">
        <v>361</v>
      </c>
      <c r="J2" s="6" t="s">
        <v>330</v>
      </c>
      <c r="K2" t="s">
        <v>331</v>
      </c>
      <c r="L2" t="s">
        <v>332</v>
      </c>
      <c r="M2" t="s">
        <v>333</v>
      </c>
      <c r="N2" t="s">
        <v>334</v>
      </c>
      <c r="O2" t="s">
        <v>102</v>
      </c>
      <c r="P2" t="s">
        <v>349</v>
      </c>
      <c r="Q2" t="s">
        <v>350</v>
      </c>
    </row>
    <row r="3" spans="1:17" x14ac:dyDescent="0.3">
      <c r="A3" t="s">
        <v>11</v>
      </c>
      <c r="B3" t="s">
        <v>273</v>
      </c>
      <c r="C3" t="s">
        <v>335</v>
      </c>
      <c r="D3" t="s">
        <v>286</v>
      </c>
      <c r="E3" t="s">
        <v>275</v>
      </c>
      <c r="F3" t="s">
        <v>14</v>
      </c>
      <c r="G3" s="13" t="s">
        <v>195</v>
      </c>
      <c r="H3" t="s">
        <v>127</v>
      </c>
      <c r="I3">
        <f>COUNTIF('Working intervals'!$C$6:$C$100,H3)</f>
        <v>4</v>
      </c>
      <c r="J3" t="s">
        <v>293</v>
      </c>
      <c r="K3" t="s">
        <v>336</v>
      </c>
      <c r="L3" t="s">
        <v>337</v>
      </c>
      <c r="M3" t="s">
        <v>338</v>
      </c>
      <c r="N3" t="s">
        <v>128</v>
      </c>
      <c r="O3" t="s">
        <v>106</v>
      </c>
      <c r="P3" t="s">
        <v>351</v>
      </c>
      <c r="Q3" t="s">
        <v>352</v>
      </c>
    </row>
    <row r="4" spans="1:17" x14ac:dyDescent="0.3">
      <c r="A4" t="s">
        <v>21</v>
      </c>
      <c r="B4" t="s">
        <v>276</v>
      </c>
      <c r="C4" t="s">
        <v>274</v>
      </c>
      <c r="D4" t="s">
        <v>283</v>
      </c>
      <c r="E4" t="s">
        <v>284</v>
      </c>
      <c r="F4" t="s">
        <v>17</v>
      </c>
      <c r="G4" s="13" t="s">
        <v>213</v>
      </c>
      <c r="H4" t="s">
        <v>146</v>
      </c>
      <c r="I4">
        <f>COUNTIF('Working intervals'!$C$6:$C$100,H4)</f>
        <v>4</v>
      </c>
      <c r="J4" t="s">
        <v>276</v>
      </c>
      <c r="K4" t="s">
        <v>103</v>
      </c>
      <c r="L4" t="s">
        <v>339</v>
      </c>
      <c r="M4" t="s">
        <v>105</v>
      </c>
      <c r="O4" t="s">
        <v>353</v>
      </c>
      <c r="P4" t="s">
        <v>354</v>
      </c>
      <c r="Q4" t="s">
        <v>355</v>
      </c>
    </row>
    <row r="5" spans="1:17" x14ac:dyDescent="0.3">
      <c r="E5" t="s">
        <v>340</v>
      </c>
      <c r="F5" t="s">
        <v>20</v>
      </c>
      <c r="G5" s="13" t="s">
        <v>341</v>
      </c>
      <c r="H5" t="s">
        <v>161</v>
      </c>
      <c r="I5">
        <f>COUNTIF('Working intervals'!$C$6:$C$100,H5)</f>
        <v>4</v>
      </c>
      <c r="L5" t="s">
        <v>105</v>
      </c>
      <c r="O5" t="s">
        <v>356</v>
      </c>
      <c r="Q5" t="s">
        <v>357</v>
      </c>
    </row>
    <row r="6" spans="1:17" x14ac:dyDescent="0.3">
      <c r="F6" t="s">
        <v>27</v>
      </c>
      <c r="G6" s="13" t="s">
        <v>342</v>
      </c>
      <c r="H6" t="s">
        <v>162</v>
      </c>
      <c r="I6">
        <f>COUNTIF('Working intervals'!$C$6:$C$100,H6)</f>
        <v>4</v>
      </c>
      <c r="O6" t="s">
        <v>341</v>
      </c>
      <c r="Q6" t="s">
        <v>358</v>
      </c>
    </row>
    <row r="7" spans="1:17" x14ac:dyDescent="0.3">
      <c r="F7" t="s">
        <v>30</v>
      </c>
      <c r="H7" t="s">
        <v>163</v>
      </c>
      <c r="I7">
        <f>COUNTIF('Working intervals'!$C$6:$C$100,H7)</f>
        <v>4</v>
      </c>
      <c r="O7" t="s">
        <v>359</v>
      </c>
      <c r="Q7" t="s">
        <v>360</v>
      </c>
    </row>
    <row r="8" spans="1:17" x14ac:dyDescent="0.3">
      <c r="F8" t="s">
        <v>33</v>
      </c>
      <c r="H8" t="s">
        <v>164</v>
      </c>
      <c r="I8">
        <f>COUNTIF('Working intervals'!$C$6:$C$100,H8)</f>
        <v>4</v>
      </c>
    </row>
    <row r="9" spans="1:17" x14ac:dyDescent="0.3">
      <c r="F9" t="s">
        <v>24</v>
      </c>
      <c r="H9" t="s">
        <v>139</v>
      </c>
      <c r="I9">
        <f>COUNTIF('Working intervals'!$C$6:$C$100,H9)</f>
        <v>4</v>
      </c>
    </row>
    <row r="10" spans="1:17" x14ac:dyDescent="0.3">
      <c r="F10" t="s">
        <v>36</v>
      </c>
      <c r="H10" s="30" t="s">
        <v>165</v>
      </c>
      <c r="I10">
        <f>COUNTIF('Working intervals'!$C$6:$C$100,H10)</f>
        <v>1</v>
      </c>
    </row>
    <row r="11" spans="1:17" x14ac:dyDescent="0.3">
      <c r="F11" t="s">
        <v>38</v>
      </c>
      <c r="H11" s="30" t="s">
        <v>167</v>
      </c>
      <c r="I11">
        <f>COUNTIF('Working intervals'!$C$6:$C$100,H11)</f>
        <v>1</v>
      </c>
    </row>
    <row r="12" spans="1:17" x14ac:dyDescent="0.3">
      <c r="F12" t="s">
        <v>40</v>
      </c>
      <c r="H12" s="30" t="s">
        <v>168</v>
      </c>
      <c r="I12">
        <f>COUNTIF('Working intervals'!$C$6:$C$100,H12)</f>
        <v>1</v>
      </c>
    </row>
    <row r="13" spans="1:17" x14ac:dyDescent="0.3">
      <c r="F13" t="s">
        <v>343</v>
      </c>
      <c r="H13" s="30" t="s">
        <v>169</v>
      </c>
      <c r="I13">
        <f>COUNTIF('Working intervals'!$C$6:$C$100,H13)</f>
        <v>1</v>
      </c>
    </row>
    <row r="14" spans="1:17" x14ac:dyDescent="0.3">
      <c r="F14" t="s">
        <v>344</v>
      </c>
      <c r="H14" s="30" t="s">
        <v>170</v>
      </c>
      <c r="I14">
        <f>COUNTIF('Working intervals'!$C$6:$C$100,H14)</f>
        <v>1</v>
      </c>
    </row>
    <row r="15" spans="1:17" x14ac:dyDescent="0.3">
      <c r="F15" t="s">
        <v>121</v>
      </c>
      <c r="H15" s="30" t="s">
        <v>171</v>
      </c>
      <c r="I15">
        <f>COUNTIF('Working intervals'!$C$6:$C$100,H15)</f>
        <v>1</v>
      </c>
    </row>
    <row r="16" spans="1:17" x14ac:dyDescent="0.3">
      <c r="F16" t="s">
        <v>345</v>
      </c>
      <c r="H16" s="30" t="s">
        <v>172</v>
      </c>
      <c r="I16">
        <f>COUNTIF('Working intervals'!$C$6:$C$100,H16)</f>
        <v>1</v>
      </c>
    </row>
    <row r="17" spans="8:9" x14ac:dyDescent="0.3">
      <c r="H17" s="30" t="s">
        <v>173</v>
      </c>
      <c r="I17">
        <f>COUNTIF('Working intervals'!$C$6:$C$100,H17)</f>
        <v>1</v>
      </c>
    </row>
    <row r="18" spans="8:9" x14ac:dyDescent="0.3">
      <c r="H18" s="30" t="s">
        <v>174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15</vt:i4>
      </vt:variant>
    </vt:vector>
  </HeadingPairs>
  <TitlesOfParts>
    <vt:vector size="28" baseType="lpstr">
      <vt:lpstr>Well settings</vt:lpstr>
      <vt:lpstr>Well logs</vt:lpstr>
      <vt:lpstr>Well data</vt:lpstr>
      <vt:lpstr>Templates</vt:lpstr>
      <vt:lpstr>Regressions</vt:lpstr>
      <vt:lpstr>Working intervals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2024-11-19T12:59:07Z</dcterms:modified>
</cp:coreProperties>
</file>