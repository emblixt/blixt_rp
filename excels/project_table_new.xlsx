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marte\PycharmProjects\blixt_rp\excels\"/>
    </mc:Choice>
  </mc:AlternateContent>
  <xr:revisionPtr revIDLastSave="0" documentId="8_{E980F469-474F-4B73-B796-7F6A4284919D}" xr6:coauthVersionLast="47" xr6:coauthVersionMax="47" xr10:uidLastSave="{00000000-0000-0000-0000-000000000000}"/>
  <bookViews>
    <workbookView xWindow="750" yWindow="2985" windowWidth="21495" windowHeight="12720" tabRatio="685" activeTab="3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<sst xmlns="http://schemas.openxmlformats.org/spreadsheetml/2006/main" count="978" uniqueCount="395">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</sst>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8" sqref="A8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11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21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393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B4" sqref="B4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21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15.2851562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380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245</v>
      </c>
      <c r="G2" s="1" t="s">
        <v>379</v>
      </c>
      <c r="H2" s="1" t="s">
        <v>241</v>
      </c>
      <c r="I2" s="1" t="s">
        <v>247</v>
      </c>
      <c r="J2" s="1" t="s">
        <v>249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381</v>
      </c>
      <c r="G3" t="s">
        <v>382</v>
      </c>
      <c r="H3" t="s">
        <v>383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384</v>
      </c>
      <c r="I4" t="s">
        <v>385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381</v>
      </c>
      <c r="G6" t="s">
        <v>382</v>
      </c>
      <c r="H6" t="s">
        <v>383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384</v>
      </c>
      <c r="I7" t="s">
        <v>385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381</v>
      </c>
      <c r="G9" t="s">
        <v>382</v>
      </c>
      <c r="H9" t="s">
        <v>383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384</v>
      </c>
      <c r="I10" t="s">
        <v>385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381</v>
      </c>
      <c r="G17" t="s">
        <v>382</v>
      </c>
      <c r="H17" t="s">
        <v>383</v>
      </c>
      <c r="K17" t="s">
        <v>386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384</v>
      </c>
      <c r="I18" t="s">
        <v>385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tabSelected="1" workbookViewId="0">
      <selection activeCell="C3" sqref="C3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378</v>
      </c>
      <c r="O2" s="1" t="s">
        <v>189</v>
      </c>
    </row>
    <row r="3" spans="1:15" x14ac:dyDescent="0.25">
      <c r="A3" t="s">
        <v>190</v>
      </c>
      <c r="B3" t="s">
        <v>55</v>
      </c>
      <c r="C3" t="s">
        <v>394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25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25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25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25">
      <c r="A7" t="s">
        <v>200</v>
      </c>
      <c r="B7" t="s">
        <v>201</v>
      </c>
      <c r="C7" t="s">
        <v>387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25">
      <c r="A8" t="s">
        <v>202</v>
      </c>
      <c r="B8" t="s">
        <v>203</v>
      </c>
      <c r="C8" t="s">
        <v>204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205</v>
      </c>
      <c r="L8" t="s">
        <v>194</v>
      </c>
      <c r="M8">
        <v>1</v>
      </c>
    </row>
    <row r="9" spans="1:15" x14ac:dyDescent="0.25">
      <c r="B9" t="s">
        <v>206</v>
      </c>
      <c r="C9" t="s">
        <v>207</v>
      </c>
      <c r="D9" t="s">
        <v>196</v>
      </c>
      <c r="E9" t="s">
        <v>192</v>
      </c>
      <c r="F9" s="3"/>
      <c r="G9" s="3"/>
      <c r="I9" t="s">
        <v>193</v>
      </c>
      <c r="K9" s="19" t="s">
        <v>205</v>
      </c>
      <c r="M9">
        <v>1</v>
      </c>
    </row>
    <row r="10" spans="1:15" x14ac:dyDescent="0.25">
      <c r="B10" t="s">
        <v>208</v>
      </c>
      <c r="C10" t="s">
        <v>207</v>
      </c>
      <c r="D10" t="s">
        <v>196</v>
      </c>
      <c r="E10" t="s">
        <v>192</v>
      </c>
      <c r="F10" s="3"/>
      <c r="G10" s="3"/>
      <c r="I10" t="s">
        <v>193</v>
      </c>
      <c r="K10" s="19" t="s">
        <v>205</v>
      </c>
      <c r="M10">
        <v>1</v>
      </c>
    </row>
    <row r="11" spans="1:15" x14ac:dyDescent="0.25">
      <c r="A11" t="s">
        <v>209</v>
      </c>
      <c r="B11" t="s">
        <v>52</v>
      </c>
      <c r="C11" t="s">
        <v>387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25">
      <c r="A12" t="s">
        <v>210</v>
      </c>
      <c r="B12" t="s">
        <v>53</v>
      </c>
      <c r="C12" t="s">
        <v>387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211</v>
      </c>
      <c r="L12" t="s">
        <v>212</v>
      </c>
      <c r="M12">
        <v>1</v>
      </c>
    </row>
    <row r="13" spans="1:15" x14ac:dyDescent="0.25">
      <c r="A13" t="s">
        <v>213</v>
      </c>
      <c r="B13" t="s">
        <v>54</v>
      </c>
      <c r="C13" t="s">
        <v>387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25">
      <c r="A14" t="s">
        <v>77</v>
      </c>
      <c r="B14" t="s">
        <v>50</v>
      </c>
      <c r="C14" t="s">
        <v>214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25">
      <c r="A15" t="s">
        <v>215</v>
      </c>
      <c r="B15" t="s">
        <v>51</v>
      </c>
      <c r="C15" t="s">
        <v>216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217</v>
      </c>
      <c r="L15" t="s">
        <v>194</v>
      </c>
      <c r="M15">
        <v>1</v>
      </c>
    </row>
    <row r="16" spans="1:15" x14ac:dyDescent="0.25">
      <c r="A16" t="s">
        <v>218</v>
      </c>
      <c r="B16" t="s">
        <v>56</v>
      </c>
      <c r="C16" t="s">
        <v>219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220</v>
      </c>
      <c r="L16" t="s">
        <v>194</v>
      </c>
      <c r="M16">
        <v>1</v>
      </c>
    </row>
    <row r="17" spans="1:13" x14ac:dyDescent="0.25">
      <c r="A17" t="s">
        <v>221</v>
      </c>
      <c r="B17" t="s">
        <v>49</v>
      </c>
      <c r="C17" t="s">
        <v>222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252</v>
      </c>
      <c r="L17" t="s">
        <v>194</v>
      </c>
      <c r="M17">
        <v>1</v>
      </c>
    </row>
    <row r="18" spans="1:13" x14ac:dyDescent="0.25">
      <c r="A18" t="s">
        <v>224</v>
      </c>
      <c r="B18" t="s">
        <v>46</v>
      </c>
      <c r="C18" t="s">
        <v>392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25">
      <c r="A19" t="s">
        <v>225</v>
      </c>
      <c r="B19" t="s">
        <v>226</v>
      </c>
      <c r="C19" t="s">
        <v>392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25">
      <c r="A20" t="s">
        <v>227</v>
      </c>
      <c r="B20" t="s">
        <v>227</v>
      </c>
      <c r="C20" t="s">
        <v>228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25">
      <c r="A21" t="s">
        <v>229</v>
      </c>
      <c r="B21" t="s">
        <v>230</v>
      </c>
      <c r="C21" t="s">
        <v>228</v>
      </c>
      <c r="D21" t="s">
        <v>231</v>
      </c>
      <c r="E21" t="s">
        <v>192</v>
      </c>
      <c r="F21" s="3">
        <v>0</v>
      </c>
      <c r="G21" s="3">
        <v>5</v>
      </c>
      <c r="I21" t="s">
        <v>232</v>
      </c>
      <c r="J21" t="s">
        <v>233</v>
      </c>
      <c r="K21" s="19" t="s">
        <v>205</v>
      </c>
      <c r="L21" t="s">
        <v>194</v>
      </c>
      <c r="M21">
        <v>1</v>
      </c>
    </row>
    <row r="22" spans="1:13" x14ac:dyDescent="0.25">
      <c r="A22" t="s">
        <v>234</v>
      </c>
      <c r="B22" t="s">
        <v>235</v>
      </c>
      <c r="C22" t="s">
        <v>387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25">
      <c r="A23" t="s">
        <v>236</v>
      </c>
      <c r="B23" t="s">
        <v>237</v>
      </c>
      <c r="C23" t="s">
        <v>387</v>
      </c>
      <c r="D23" t="s">
        <v>231</v>
      </c>
      <c r="F23" s="3">
        <v>0</v>
      </c>
      <c r="G23" s="3">
        <v>0.5</v>
      </c>
      <c r="I23" t="s">
        <v>238</v>
      </c>
      <c r="J23" t="s">
        <v>239</v>
      </c>
      <c r="K23" s="21" t="s">
        <v>35</v>
      </c>
      <c r="L23" t="s">
        <v>194</v>
      </c>
      <c r="M23">
        <v>1</v>
      </c>
    </row>
    <row r="24" spans="1:13" x14ac:dyDescent="0.25">
      <c r="A24" t="s">
        <v>240</v>
      </c>
      <c r="B24" t="s">
        <v>241</v>
      </c>
      <c r="C24" t="s">
        <v>242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212</v>
      </c>
      <c r="M24">
        <v>1</v>
      </c>
    </row>
    <row r="25" spans="1:13" x14ac:dyDescent="0.25">
      <c r="A25" t="s">
        <v>243</v>
      </c>
      <c r="B25" t="s">
        <v>244</v>
      </c>
      <c r="C25" t="s">
        <v>219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220</v>
      </c>
      <c r="L25" t="s">
        <v>212</v>
      </c>
      <c r="M25">
        <v>2</v>
      </c>
    </row>
    <row r="26" spans="1:13" x14ac:dyDescent="0.25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220</v>
      </c>
    </row>
    <row r="27" spans="1:13" x14ac:dyDescent="0.25">
      <c r="B27" t="s">
        <v>379</v>
      </c>
      <c r="C27" t="s">
        <v>1</v>
      </c>
      <c r="D27" t="s">
        <v>196</v>
      </c>
      <c r="E27" t="s">
        <v>192</v>
      </c>
      <c r="I27" t="s">
        <v>193</v>
      </c>
      <c r="K27" s="36" t="s">
        <v>252</v>
      </c>
      <c r="L27" t="s">
        <v>212</v>
      </c>
      <c r="M27">
        <v>1</v>
      </c>
    </row>
    <row r="28" spans="1:13" x14ac:dyDescent="0.25">
      <c r="B28" t="s">
        <v>245</v>
      </c>
      <c r="C28" t="s">
        <v>1</v>
      </c>
      <c r="D28" t="s">
        <v>196</v>
      </c>
      <c r="E28" t="s">
        <v>192</v>
      </c>
      <c r="I28" t="s">
        <v>193</v>
      </c>
      <c r="K28" s="24" t="s">
        <v>220</v>
      </c>
      <c r="L28" t="s">
        <v>194</v>
      </c>
      <c r="M28">
        <v>1</v>
      </c>
    </row>
    <row r="29" spans="1:13" x14ac:dyDescent="0.25">
      <c r="A29" t="s">
        <v>246</v>
      </c>
      <c r="B29" t="s">
        <v>247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25">
      <c r="A30" t="s">
        <v>248</v>
      </c>
      <c r="B30" t="s">
        <v>249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25">
      <c r="B31" t="s">
        <v>250</v>
      </c>
      <c r="C31" t="s">
        <v>388</v>
      </c>
      <c r="D31" t="s">
        <v>196</v>
      </c>
      <c r="E31" t="s">
        <v>192</v>
      </c>
      <c r="I31" t="s">
        <v>251</v>
      </c>
      <c r="K31" s="36" t="s">
        <v>252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6" workbookViewId="0">
      <selection activeCell="C28" sqref="C28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391</v>
      </c>
    </row>
    <row r="5" spans="1:7" x14ac:dyDescent="0.25">
      <c r="A5" s="1" t="s">
        <v>2</v>
      </c>
      <c r="B5" s="1" t="s">
        <v>255</v>
      </c>
      <c r="C5" s="12" t="s">
        <v>389</v>
      </c>
      <c r="D5" s="1" t="s">
        <v>390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211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217</v>
      </c>
    </row>
    <row r="11" spans="1:7" x14ac:dyDescent="0.25">
      <c r="A11" t="s">
        <v>11</v>
      </c>
      <c r="B11" t="s">
        <v>164</v>
      </c>
      <c r="C11">
        <v>1</v>
      </c>
      <c r="F11" s="24" t="s">
        <v>220</v>
      </c>
    </row>
    <row r="12" spans="1:7" x14ac:dyDescent="0.25">
      <c r="A12" t="s">
        <v>21</v>
      </c>
      <c r="B12" t="s">
        <v>139</v>
      </c>
      <c r="C12">
        <v>1</v>
      </c>
      <c r="F12" s="25" t="s">
        <v>223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211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217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220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223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J14" sqref="J14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253</v>
      </c>
      <c r="E1" s="7" t="s">
        <v>254</v>
      </c>
    </row>
    <row r="2" spans="1:15" s="8" customFormat="1" ht="30" customHeight="1" thickBot="1" x14ac:dyDescent="0.3">
      <c r="A2" s="8" t="s">
        <v>255</v>
      </c>
      <c r="B2" s="9" t="s">
        <v>256</v>
      </c>
      <c r="C2" s="9" t="s">
        <v>257</v>
      </c>
      <c r="D2" s="9" t="s">
        <v>258</v>
      </c>
      <c r="E2" s="8" t="s">
        <v>259</v>
      </c>
      <c r="F2" s="8" t="s">
        <v>260</v>
      </c>
      <c r="G2" s="8" t="s">
        <v>261</v>
      </c>
      <c r="H2" s="8" t="s">
        <v>262</v>
      </c>
      <c r="I2" s="8" t="s">
        <v>263</v>
      </c>
      <c r="J2" s="8" t="s">
        <v>264</v>
      </c>
      <c r="K2" s="8" t="s">
        <v>265</v>
      </c>
      <c r="L2" s="8" t="s">
        <v>266</v>
      </c>
      <c r="M2" s="8" t="s">
        <v>267</v>
      </c>
      <c r="N2" s="8" t="s">
        <v>268</v>
      </c>
      <c r="O2" s="8" t="s">
        <v>269</v>
      </c>
    </row>
    <row r="3" spans="1:15" x14ac:dyDescent="0.25">
      <c r="A3" t="s">
        <v>270</v>
      </c>
      <c r="B3" s="3"/>
      <c r="C3" s="3"/>
      <c r="E3" t="s">
        <v>271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272</v>
      </c>
      <c r="O3">
        <v>2</v>
      </c>
    </row>
    <row r="4" spans="1:15" x14ac:dyDescent="0.25">
      <c r="A4" t="s">
        <v>273</v>
      </c>
      <c r="B4" s="3">
        <v>2.68</v>
      </c>
      <c r="C4" s="3"/>
      <c r="D4">
        <v>1.0229999999999999</v>
      </c>
      <c r="E4" t="s">
        <v>274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275</v>
      </c>
    </row>
    <row r="2" spans="1:8" s="8" customFormat="1" ht="30" customHeight="1" thickBot="1" x14ac:dyDescent="0.3">
      <c r="A2" s="1" t="s">
        <v>2</v>
      </c>
      <c r="B2" s="9" t="s">
        <v>276</v>
      </c>
      <c r="C2" s="9" t="s">
        <v>277</v>
      </c>
      <c r="D2" s="9" t="s">
        <v>116</v>
      </c>
      <c r="E2" s="9" t="s">
        <v>278</v>
      </c>
      <c r="F2" s="8" t="s">
        <v>279</v>
      </c>
      <c r="G2" s="9" t="s">
        <v>280</v>
      </c>
      <c r="H2" s="8" t="s">
        <v>344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270</v>
      </c>
      <c r="F3" s="31" t="s">
        <v>273</v>
      </c>
      <c r="G3" s="32"/>
    </row>
    <row r="4" spans="1:8" x14ac:dyDescent="0.25">
      <c r="A4" t="s">
        <v>21</v>
      </c>
      <c r="B4" t="s">
        <v>281</v>
      </c>
      <c r="C4" t="s">
        <v>28</v>
      </c>
      <c r="D4" t="s">
        <v>162</v>
      </c>
      <c r="E4" t="s">
        <v>270</v>
      </c>
      <c r="F4" t="s">
        <v>282</v>
      </c>
      <c r="G4" t="s">
        <v>283</v>
      </c>
      <c r="H4" t="s">
        <v>345</v>
      </c>
    </row>
    <row r="5" spans="1:8" x14ac:dyDescent="0.25">
      <c r="A5" t="s">
        <v>21</v>
      </c>
      <c r="B5" t="s">
        <v>281</v>
      </c>
      <c r="C5" t="s">
        <v>28</v>
      </c>
      <c r="D5" t="s">
        <v>162</v>
      </c>
      <c r="E5" t="s">
        <v>270</v>
      </c>
      <c r="F5" t="s">
        <v>273</v>
      </c>
      <c r="G5" t="s">
        <v>87</v>
      </c>
      <c r="H5" t="s">
        <v>345</v>
      </c>
    </row>
    <row r="6" spans="1:8" ht="15.75" customHeight="1" thickBot="1" x14ac:dyDescent="0.3">
      <c r="A6" s="31" t="s">
        <v>21</v>
      </c>
      <c r="B6" s="31" t="s">
        <v>284</v>
      </c>
      <c r="C6" s="31" t="s">
        <v>28</v>
      </c>
      <c r="D6" s="31" t="s">
        <v>162</v>
      </c>
      <c r="E6" s="31" t="s">
        <v>273</v>
      </c>
      <c r="F6" s="31"/>
      <c r="G6" s="31">
        <v>1</v>
      </c>
      <c r="H6" t="s">
        <v>345</v>
      </c>
    </row>
    <row r="7" spans="1:8" x14ac:dyDescent="0.25">
      <c r="A7" t="s">
        <v>11</v>
      </c>
      <c r="B7" t="s">
        <v>281</v>
      </c>
      <c r="C7" t="s">
        <v>28</v>
      </c>
      <c r="D7" t="s">
        <v>162</v>
      </c>
      <c r="E7" t="s">
        <v>270</v>
      </c>
      <c r="F7" t="s">
        <v>338</v>
      </c>
      <c r="G7" t="s">
        <v>283</v>
      </c>
      <c r="H7" t="s">
        <v>346</v>
      </c>
    </row>
    <row r="8" spans="1:8" x14ac:dyDescent="0.25">
      <c r="A8" t="s">
        <v>11</v>
      </c>
      <c r="B8" t="s">
        <v>281</v>
      </c>
      <c r="C8" t="s">
        <v>28</v>
      </c>
      <c r="D8" t="s">
        <v>162</v>
      </c>
      <c r="E8" t="s">
        <v>270</v>
      </c>
      <c r="F8" t="s">
        <v>273</v>
      </c>
      <c r="G8">
        <v>0.2</v>
      </c>
      <c r="H8" t="s">
        <v>346</v>
      </c>
    </row>
    <row r="9" spans="1:8" ht="15.75" thickBot="1" x14ac:dyDescent="0.3">
      <c r="A9" s="31" t="s">
        <v>11</v>
      </c>
      <c r="B9" s="31" t="s">
        <v>284</v>
      </c>
      <c r="C9" s="31" t="s">
        <v>28</v>
      </c>
      <c r="D9" s="31" t="s">
        <v>162</v>
      </c>
      <c r="E9" s="31" t="s">
        <v>273</v>
      </c>
      <c r="F9" s="31"/>
      <c r="G9" s="31">
        <v>1</v>
      </c>
      <c r="H9" t="s">
        <v>346</v>
      </c>
    </row>
    <row r="21" spans="8:8" x14ac:dyDescent="0.25">
      <c r="H21" t="s">
        <v>285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286</v>
      </c>
    </row>
    <row r="2" spans="1:7" s="8" customFormat="1" ht="30.75" customHeight="1" thickBot="1" x14ac:dyDescent="0.3">
      <c r="A2" s="33" t="s">
        <v>255</v>
      </c>
      <c r="B2" s="34" t="s">
        <v>256</v>
      </c>
      <c r="C2" s="34" t="s">
        <v>257</v>
      </c>
      <c r="D2" s="34" t="s">
        <v>258</v>
      </c>
      <c r="E2" s="33" t="s">
        <v>287</v>
      </c>
      <c r="F2" s="33" t="s">
        <v>259</v>
      </c>
      <c r="G2" s="33" t="s">
        <v>288</v>
      </c>
    </row>
    <row r="3" spans="1:7" ht="30" customHeight="1" x14ac:dyDescent="0.25">
      <c r="A3" t="s">
        <v>289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290</v>
      </c>
      <c r="B4">
        <v>11.4</v>
      </c>
      <c r="C4">
        <v>3</v>
      </c>
      <c r="D4">
        <v>2.35</v>
      </c>
      <c r="E4">
        <v>0</v>
      </c>
      <c r="F4" t="s">
        <v>291</v>
      </c>
      <c r="G4" t="s">
        <v>292</v>
      </c>
    </row>
    <row r="5" spans="1:7" x14ac:dyDescent="0.25">
      <c r="A5" t="s">
        <v>293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294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295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296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297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298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299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300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301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302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303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304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305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306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307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308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309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310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311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312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313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314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315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316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317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318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319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320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321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322</v>
      </c>
    </row>
    <row r="2" spans="1:4" s="8" customFormat="1" ht="30.75" customHeight="1" thickBot="1" x14ac:dyDescent="0.3">
      <c r="A2" s="9" t="s">
        <v>277</v>
      </c>
      <c r="B2" s="9" t="s">
        <v>116</v>
      </c>
      <c r="C2" s="8" t="s">
        <v>323</v>
      </c>
      <c r="D2" s="10" t="s">
        <v>280</v>
      </c>
    </row>
    <row r="3" spans="1:4" ht="30" customHeight="1" x14ac:dyDescent="0.25">
      <c r="A3" t="s">
        <v>28</v>
      </c>
      <c r="B3" t="s">
        <v>162</v>
      </c>
      <c r="C3" t="s">
        <v>289</v>
      </c>
      <c r="D3" s="6" t="s">
        <v>283</v>
      </c>
    </row>
    <row r="4" spans="1:4" x14ac:dyDescent="0.25">
      <c r="A4" t="s">
        <v>28</v>
      </c>
      <c r="B4" t="s">
        <v>162</v>
      </c>
      <c r="C4" t="s">
        <v>290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371</v>
      </c>
      <c r="M1" s="2" t="s">
        <v>371</v>
      </c>
      <c r="O1" s="2"/>
    </row>
    <row r="2" spans="1:17" x14ac:dyDescent="0.25">
      <c r="A2" s="1" t="s">
        <v>372</v>
      </c>
      <c r="B2" s="1" t="s">
        <v>361</v>
      </c>
      <c r="C2" s="1" t="s">
        <v>368</v>
      </c>
      <c r="D2" s="1" t="s">
        <v>369</v>
      </c>
      <c r="E2" s="1" t="s">
        <v>370</v>
      </c>
      <c r="F2" s="1" t="s">
        <v>362</v>
      </c>
      <c r="G2" s="1" t="s">
        <v>363</v>
      </c>
      <c r="H2" s="1" t="s">
        <v>364</v>
      </c>
      <c r="I2" s="1" t="s">
        <v>157</v>
      </c>
      <c r="J2" s="1" t="s">
        <v>365</v>
      </c>
      <c r="K2" s="1" t="s">
        <v>366</v>
      </c>
      <c r="L2" s="1" t="s">
        <v>367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377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373</v>
      </c>
      <c r="B2" s="1" t="s">
        <v>99</v>
      </c>
      <c r="C2" s="1" t="s">
        <v>347</v>
      </c>
      <c r="D2" s="1" t="s">
        <v>374</v>
      </c>
      <c r="E2" s="1" t="s">
        <v>375</v>
      </c>
      <c r="F2" s="1" t="s">
        <v>376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E3" sqref="E3:E5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360</v>
      </c>
    </row>
    <row r="2" spans="1:17" s="6" customFormat="1" ht="42.75" customHeight="1" x14ac:dyDescent="0.25">
      <c r="B2" s="6" t="s">
        <v>324</v>
      </c>
      <c r="C2" s="6" t="s">
        <v>268</v>
      </c>
      <c r="D2" s="6" t="s">
        <v>276</v>
      </c>
      <c r="E2" t="s">
        <v>325</v>
      </c>
      <c r="F2" s="6" t="s">
        <v>326</v>
      </c>
      <c r="G2" s="6" t="s">
        <v>327</v>
      </c>
      <c r="H2" s="1" t="s">
        <v>116</v>
      </c>
      <c r="I2" t="s">
        <v>359</v>
      </c>
      <c r="J2" s="6" t="s">
        <v>328</v>
      </c>
      <c r="K2" t="s">
        <v>329</v>
      </c>
      <c r="L2" t="s">
        <v>330</v>
      </c>
      <c r="M2" t="s">
        <v>331</v>
      </c>
      <c r="N2" t="s">
        <v>332</v>
      </c>
      <c r="O2" t="s">
        <v>102</v>
      </c>
      <c r="P2" t="s">
        <v>347</v>
      </c>
      <c r="Q2" t="s">
        <v>348</v>
      </c>
    </row>
    <row r="3" spans="1:17" x14ac:dyDescent="0.25">
      <c r="A3" t="s">
        <v>11</v>
      </c>
      <c r="B3" t="s">
        <v>271</v>
      </c>
      <c r="C3" t="s">
        <v>333</v>
      </c>
      <c r="D3" t="s">
        <v>284</v>
      </c>
      <c r="E3" t="s">
        <v>273</v>
      </c>
      <c r="F3" t="s">
        <v>14</v>
      </c>
      <c r="G3" s="13" t="s">
        <v>194</v>
      </c>
      <c r="H3" t="s">
        <v>127</v>
      </c>
      <c r="I3">
        <f>COUNTIF('Working intervals'!$C$6:$C$100,H3)</f>
        <v>4</v>
      </c>
      <c r="J3" t="s">
        <v>291</v>
      </c>
      <c r="K3" t="s">
        <v>334</v>
      </c>
      <c r="L3" t="s">
        <v>335</v>
      </c>
      <c r="M3" t="s">
        <v>336</v>
      </c>
      <c r="N3" t="s">
        <v>128</v>
      </c>
      <c r="O3" t="s">
        <v>106</v>
      </c>
      <c r="P3" t="s">
        <v>349</v>
      </c>
      <c r="Q3" t="s">
        <v>350</v>
      </c>
    </row>
    <row r="4" spans="1:17" x14ac:dyDescent="0.25">
      <c r="A4" t="s">
        <v>21</v>
      </c>
      <c r="B4" t="s">
        <v>274</v>
      </c>
      <c r="C4" t="s">
        <v>272</v>
      </c>
      <c r="D4" t="s">
        <v>281</v>
      </c>
      <c r="E4" t="s">
        <v>282</v>
      </c>
      <c r="F4" t="s">
        <v>17</v>
      </c>
      <c r="G4" s="13" t="s">
        <v>212</v>
      </c>
      <c r="H4" t="s">
        <v>146</v>
      </c>
      <c r="I4">
        <f>COUNTIF('Working intervals'!$C$6:$C$100,H4)</f>
        <v>4</v>
      </c>
      <c r="J4" t="s">
        <v>274</v>
      </c>
      <c r="K4" t="s">
        <v>103</v>
      </c>
      <c r="L4" t="s">
        <v>337</v>
      </c>
      <c r="M4" t="s">
        <v>105</v>
      </c>
      <c r="O4" t="s">
        <v>351</v>
      </c>
      <c r="P4" t="s">
        <v>352</v>
      </c>
      <c r="Q4" t="s">
        <v>353</v>
      </c>
    </row>
    <row r="5" spans="1:17" x14ac:dyDescent="0.25">
      <c r="E5" t="s">
        <v>338</v>
      </c>
      <c r="F5" t="s">
        <v>20</v>
      </c>
      <c r="G5" s="13" t="s">
        <v>339</v>
      </c>
      <c r="H5" t="s">
        <v>161</v>
      </c>
      <c r="I5">
        <f>COUNTIF('Working intervals'!$C$6:$C$100,H5)</f>
        <v>4</v>
      </c>
      <c r="L5" t="s">
        <v>105</v>
      </c>
      <c r="O5" t="s">
        <v>354</v>
      </c>
      <c r="Q5" t="s">
        <v>355</v>
      </c>
    </row>
    <row r="6" spans="1:17" x14ac:dyDescent="0.25">
      <c r="F6" t="s">
        <v>27</v>
      </c>
      <c r="G6" s="13" t="s">
        <v>340</v>
      </c>
      <c r="H6" t="s">
        <v>162</v>
      </c>
      <c r="I6">
        <f>COUNTIF('Working intervals'!$C$6:$C$100,H6)</f>
        <v>4</v>
      </c>
      <c r="O6" t="s">
        <v>339</v>
      </c>
      <c r="Q6" t="s">
        <v>356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357</v>
      </c>
      <c r="Q7" t="s">
        <v>358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341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342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343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15</vt:i4>
      </vt:variant>
    </vt:vector>
  </HeadingPairs>
  <TitlesOfParts>
    <vt:vector size="29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2025-09-02T19:31:36Z</dcterms:modified>
</cp:coreProperties>
</file>